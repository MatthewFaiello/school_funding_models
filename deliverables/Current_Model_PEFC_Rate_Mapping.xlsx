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88d02fa3b6824a9a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 Mapping" sheetId="1" r:id="Rf6e23d3e85d14b33"/>
    <x:sheet xmlns:r="http://schemas.openxmlformats.org/officeDocument/2006/relationships" name="Needs Confirmation" sheetId="2" r:id="R20f69d468b574d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4">
    <x:border/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top style="thin">
        <x:color rgb="FFD9D9D9"/>
      </x:top>
      <x:bottom style="thin">
        <x:color rgb="FFD9E2F3"/>
      </x:bottom>
    </x:border>
    <x:border>
      <x:top style="thin">
        <x:color rgb="FFD9D9D9"/>
      </x:top>
      <x:bottom style="thin">
        <x:color rgb="FFD9E2F3"/>
      </x:bottom>
    </x:border>
    <x:border>
      <x:right style="thin">
        <x:color rgb="FFD9D9D9"/>
      </x:right>
      <x:top style="thin">
        <x:color rgb="FFD9D9D9"/>
      </x:top>
      <x:bottom style="thin">
        <x:color rgb="FFD9E2F3"/>
      </x:bottom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E2F3"/>
      </x:bottom>
    </x:border>
    <x:border>
      <x:top style="thin">
        <x:color rgb="FFD9D9D9"/>
      </x:top>
      <x:bottom style="thin">
        <x:color rgb="FFD9E2F3"/>
      </x:bottom>
    </x:border>
    <x:border>
      <x:right style="thin">
        <x:color rgb="FFD9D9D9"/>
      </x:right>
      <x:top style="thin">
        <x:color rgb="FFD9D9D9"/>
      </x:top>
      <x:bottom style="thin">
        <x:color rgb="FFD9E2F3"/>
      </x:bottom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3" fillId="4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20f69d468b574dac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cc0b71b9ecd5494d" Type="http://schemas.openxmlformats.org/officeDocument/2006/relationships/styles" Target="/xl/styles.xml"/><Relationship Id="rId1" Type="http://schemas.openxmlformats.org/officeDocument/2006/relationships/customXml" Target="../customXml/item1.xml"/><Relationship Id="R43d15c5154ba433d" Type="http://schemas.openxmlformats.org/officeDocument/2006/relationships/theme" Target="/xl/theme/theme1.xml"/><Relationship Id="Rcccfe7b06e594b75" Type="http://schemas.openxmlformats.org/officeDocument/2006/relationships/sharedStrings" Target="/xl/sharedStrings.xml"/><Relationship Id="Rf6e23d3e85d14b33" Type="http://schemas.openxmlformats.org/officeDocument/2006/relationships/worksheet" Target="/xl/worksheets/sheet1.xml"/></Relationships>
</file>

<file path=xl/tables/table1.xml><?xml version="1.0" encoding="utf-8"?>
<x:table xmlns:x="http://schemas.openxmlformats.org/spreadsheetml/2006/main" id="1" name="CurrentRateMappingTable" displayName="CurrentRateMappingTable" ref="A4:I36" headerRowCount="1">
  <x:tableColumns count="9">
    <x:tableColumn id="1" name="Current Model Component"/>
    <x:tableColumn id="2" name="PEFC Workbook Rate Category"/>
    <x:tableColumn id="3" name="PEFC Rate"/>
    <x:tableColumn id="4" name="Funding Section"/>
    <x:tableColumn id="5" name="Rate Basis"/>
    <x:tableColumn id="6" name="Workbook Source Cell"/>
    <x:tableColumn id="7" name="Evidence Classification"/>
    <x:tableColumn id="8" name="Current Mapping / Rationale"/>
    <x:tableColumn id="9" name="Finance Confirmation Needed"/>
  </x:tableColumns>
  <x:tableStyleInfo name="TableStyleMedium2" showRowStripes="1"/>
</x:table>
</file>

<file path=xl/tables/table2.xml><?xml version="1.0" encoding="utf-8"?>
<x:table xmlns:x="http://schemas.openxmlformats.org/spreadsheetml/2006/main" id="2" name="RateMappingReviewTable" displayName="RateMappingReviewTable" ref="A4:F11" headerRowCount="1">
  <x:tableColumns count="6">
    <x:tableColumn id="1" name="Current Model Component"/>
    <x:tableColumn id="2" name="Current PEFC Mapping"/>
    <x:tableColumn id="3" name="PEFC Rate"/>
    <x:tableColumn id="4" name="Evidence Classification"/>
    <x:tableColumn id="5" name="Current Rationale"/>
    <x:tableColumn id="6" name="Finance Ques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ebfcf0104f43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ffff6c1d724d74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3" max="3" width="14" hidden="0" customWidth="1"/>
    <x:col min="4" max="4" width="28" hidden="0" customWidth="1"/>
    <x:col min="5" max="5" width="14" hidden="0" customWidth="1"/>
    <x:col min="6" max="6" width="18" hidden="0" customWidth="1"/>
    <x:col min="7" max="7" width="22" hidden="0" customWidth="1"/>
    <x:col min="8" max="8" width="56" hidden="0" customWidth="1"/>
    <x:col min="9" max="9" width="28" hidden="0" customWidth="1"/>
  </x:cols>
  <x:sheetData>
    <x:row r="1" ht="26" customHeight="1">
      <x:c r="A1" s="5" t="str">
        <x:v>Current Model to PEFC Workbook Rate Mapping</x:v>
      </x:c>
      <x:c r="B1" s="5"/>
      <x:c r="C1" s="5"/>
      <x:c r="D1" s="5"/>
      <x:c r="E1" s="5"/>
      <x:c r="F1" s="5"/>
      <x:c r="G1" s="5"/>
      <x:c r="H1" s="5"/>
      <x:c r="I1" s="5"/>
    </x:row>
    <x:row r="2" ht="44" customHeight="1">
      <x:c r="A2" s="13" t="str">
        <x:v>Purpose: apply the PEFC proposed rates to recreated current-model quantities for an apples-to-apples comparison of model rules and weights. The classifications describe the evidence for each mapping; they do not confirm the upstream derivation of the PEFC rates.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52" t="str">
        <x:v>Current Model Component</x:v>
      </x:c>
      <x:c r="B4" s="53" t="str">
        <x:v>PEFC Workbook Rate Category</x:v>
      </x:c>
      <x:c r="C4" s="53" t="str">
        <x:v>PEFC Rate</x:v>
      </x:c>
      <x:c r="D4" s="53" t="str">
        <x:v>Funding Section</x:v>
      </x:c>
      <x:c r="E4" s="53" t="str">
        <x:v>Rate Basis</x:v>
      </x:c>
      <x:c r="F4" s="53" t="str">
        <x:v>Workbook Source Cell</x:v>
      </x:c>
      <x:c r="G4" s="53" t="str">
        <x:v>Evidence Classification</x:v>
      </x:c>
      <x:c r="H4" s="53" t="str">
        <x:v>Current Mapping / Rationale</x:v>
      </x:c>
      <x:c r="I4" s="54" t="str">
        <x:v>Finance Confirmation Needed</x:v>
      </x:c>
    </x:row>
    <x:row r="5">
      <x:c r="A5" s="55" t="str">
        <x:v>Division I Teacher - Pre-K</x:v>
      </x:c>
      <x:c r="B5" s="48" t="str">
        <x:v>Division I Teacher - Basic Special Education</x:v>
      </x:c>
      <x:c r="C5" s="50" t="n">
        <x:v>96155</x:v>
      </x:c>
      <x:c r="D5" s="48" t="str">
        <x:v>Base Funding (State Support)</x:v>
      </x:c>
      <x:c r="E5" s="48" t="str">
        <x:v>Per position</x:v>
      </x:c>
      <x:c r="F5" s="48" t="str">
        <x:v>Calculator!E8</x:v>
      </x:c>
      <x:c r="G5" s="48" t="str">
        <x:v>Calculator-supplied</x:v>
      </x:c>
      <x:c r="H5" s="48" t="str">
        <x:v>Uses the calculator-supplied Basic special education rate because the current Pre-K category represents Basic special education units.</x:v>
      </x:c>
      <x:c r="I5" s="56" t="str">
        <x:v>Review full mapping</x:v>
      </x:c>
    </x:row>
    <x:row r="6">
      <x:c r="A6" s="55" t="str">
        <x:v>Division I Teacher - K-3 Regular Education</x:v>
      </x:c>
      <x:c r="B6" s="48" t="str">
        <x:v>Division I Teacher - K-3 Regular Education</x:v>
      </x:c>
      <x:c r="C6" s="50" t="n">
        <x:v>96155</x:v>
      </x:c>
      <x:c r="D6" s="48" t="str">
        <x:v>Base Funding (State Support)</x:v>
      </x:c>
      <x:c r="E6" s="48" t="str">
        <x:v>Per position</x:v>
      </x:c>
      <x:c r="F6" s="48" t="str">
        <x:v>Calculator!E6</x:v>
      </x:c>
      <x:c r="G6" s="48" t="str">
        <x:v>Calculator-supplied</x:v>
      </x:c>
      <x:c r="H6" s="48" t="str">
        <x:v>The calculator explicitly supplies this component rate.</x:v>
      </x:c>
      <x:c r="I6" s="56" t="str">
        <x:v>Review full mapping</x:v>
      </x:c>
    </x:row>
    <x:row r="7">
      <x:c r="A7" s="55" t="str">
        <x:v>Division I Teacher - 4-12 Regular Education</x:v>
      </x:c>
      <x:c r="B7" s="48" t="str">
        <x:v>Division I Teacher - 4-12 Regular Education</x:v>
      </x:c>
      <x:c r="C7" s="50" t="n">
        <x:v>96155</x:v>
      </x:c>
      <x:c r="D7" s="48" t="str">
        <x:v>Base Funding (State Support)</x:v>
      </x:c>
      <x:c r="E7" s="48" t="str">
        <x:v>Per position</x:v>
      </x:c>
      <x:c r="F7" s="48" t="str">
        <x:v>Calculator!E7</x:v>
      </x:c>
      <x:c r="G7" s="48" t="str">
        <x:v>Calculator-supplied</x:v>
      </x:c>
      <x:c r="H7" s="48" t="str">
        <x:v>The calculator explicitly supplies this component rate.</x:v>
      </x:c>
      <x:c r="I7" s="56" t="str">
        <x:v>Review full mapping</x:v>
      </x:c>
    </x:row>
    <x:row r="8">
      <x:c r="A8" s="55" t="str">
        <x:v>Division I Teacher - Basic Special Education</x:v>
      </x:c>
      <x:c r="B8" s="48" t="str">
        <x:v>Division I Teacher - Basic Special Education</x:v>
      </x:c>
      <x:c r="C8" s="50" t="n">
        <x:v>96155</x:v>
      </x:c>
      <x:c r="D8" s="48" t="str">
        <x:v>Base Funding (State Support)</x:v>
      </x:c>
      <x:c r="E8" s="48" t="str">
        <x:v>Per position</x:v>
      </x:c>
      <x:c r="F8" s="48" t="str">
        <x:v>Calculator!E8</x:v>
      </x:c>
      <x:c r="G8" s="48" t="str">
        <x:v>Calculator-supplied</x:v>
      </x:c>
      <x:c r="H8" s="48" t="str">
        <x:v>The calculator explicitly supplies this component rate.</x:v>
      </x:c>
      <x:c r="I8" s="56" t="str">
        <x:v>Review full mapping</x:v>
      </x:c>
    </x:row>
    <x:row r="9">
      <x:c r="A9" s="55" t="str">
        <x:v>Division I Teacher - Intensive Special Education</x:v>
      </x:c>
      <x:c r="B9" s="48" t="str">
        <x:v>Division I Teacher - Intensive Special Education</x:v>
      </x:c>
      <x:c r="C9" s="50" t="n">
        <x:v>96155</x:v>
      </x:c>
      <x:c r="D9" s="48" t="str">
        <x:v>Base Funding (State Support)</x:v>
      </x:c>
      <x:c r="E9" s="48" t="str">
        <x:v>Per position</x:v>
      </x:c>
      <x:c r="F9" s="48" t="str">
        <x:v>Calculator!E9</x:v>
      </x:c>
      <x:c r="G9" s="48" t="str">
        <x:v>Calculator-supplied</x:v>
      </x:c>
      <x:c r="H9" s="48" t="str">
        <x:v>The calculator explicitly supplies this component rate.</x:v>
      </x:c>
      <x:c r="I9" s="56" t="str">
        <x:v>Review full mapping</x:v>
      </x:c>
    </x:row>
    <x:row r="10">
      <x:c r="A10" s="55" t="str">
        <x:v>Division I Teacher - Complex Special Education</x:v>
      </x:c>
      <x:c r="B10" s="48" t="str">
        <x:v>Division I Teacher - Complex Special Education</x:v>
      </x:c>
      <x:c r="C10" s="50" t="n">
        <x:v>96155</x:v>
      </x:c>
      <x:c r="D10" s="48" t="str">
        <x:v>Base Funding (State Support)</x:v>
      </x:c>
      <x:c r="E10" s="48" t="str">
        <x:v>Per position</x:v>
      </x:c>
      <x:c r="F10" s="48" t="str">
        <x:v>Calculator!E10</x:v>
      </x:c>
      <x:c r="G10" s="48" t="str">
        <x:v>Calculator-supplied</x:v>
      </x:c>
      <x:c r="H10" s="48" t="str">
        <x:v>The calculator explicitly supplies this component rate.</x:v>
      </x:c>
      <x:c r="I10" s="56" t="str">
        <x:v>Review full mapping</x:v>
      </x:c>
    </x:row>
    <x:row r="11">
      <x:c r="A11" s="55" t="str">
        <x:v>Vocational Division I</x:v>
      </x:c>
      <x:c r="B11" s="48" t="str">
        <x:v>Vocational Division I / Vocational Deduct</x:v>
      </x:c>
      <x:c r="C11" s="50" t="n">
        <x:v>96155</x:v>
      </x:c>
      <x:c r="D11" s="48" t="str">
        <x:v>Base Funding (State Support)</x:v>
      </x:c>
      <x:c r="E11" s="48" t="str">
        <x:v>Per position</x:v>
      </x:c>
      <x:c r="F11" s="48" t="str">
        <x:v>Calculator!E11; Calculator!E12</x:v>
      </x:c>
      <x:c r="G11" s="48" t="str">
        <x:v>Calculator-supplied</x:v>
      </x:c>
      <x:c r="H11" s="48" t="str">
        <x:v>The calculator supplies one common rate for Vocational Division I and the vocational deduction.</x:v>
      </x:c>
      <x:c r="I11" s="56" t="str">
        <x:v>Review full mapping</x:v>
      </x:c>
    </x:row>
    <x:row r="12">
      <x:c r="A12" s="55" t="str">
        <x:v>Vocational Deduct</x:v>
      </x:c>
      <x:c r="B12" s="48" t="str">
        <x:v>Vocational Division I / Vocational Deduct</x:v>
      </x:c>
      <x:c r="C12" s="50" t="n">
        <x:v>96155</x:v>
      </x:c>
      <x:c r="D12" s="48" t="str">
        <x:v>Base Funding (State Support)</x:v>
      </x:c>
      <x:c r="E12" s="48" t="str">
        <x:v>Per position</x:v>
      </x:c>
      <x:c r="F12" s="48" t="str">
        <x:v>Calculator!E11; Calculator!E12</x:v>
      </x:c>
      <x:c r="G12" s="48" t="str">
        <x:v>Calculator-supplied</x:v>
      </x:c>
      <x:c r="H12" s="48" t="str">
        <x:v>The calculator supplies one common rate for Vocational Division I and the vocational deduction.</x:v>
      </x:c>
      <x:c r="I12" s="56" t="str">
        <x:v>Review full mapping</x:v>
      </x:c>
    </x:row>
    <x:row r="13">
      <x:c r="A13" s="55" t="str">
        <x:v>Principal</x:v>
      </x:c>
      <x:c r="B13" s="48" t="str">
        <x:v>Principal</x:v>
      </x:c>
      <x:c r="C13" s="50" t="n">
        <x:v>153065</x:v>
      </x:c>
      <x:c r="D13" s="48" t="str">
        <x:v>Base Funding (State Support)</x:v>
      </x:c>
      <x:c r="E13" s="48" t="str">
        <x:v>Per position</x:v>
      </x:c>
      <x:c r="F13" s="48" t="str">
        <x:v>Calculator!E13</x:v>
      </x:c>
      <x:c r="G13" s="48" t="str">
        <x:v>Calculator-supplied</x:v>
      </x:c>
      <x:c r="H13" s="48" t="str">
        <x:v>The calculator explicitly supplies this component rate.</x:v>
      </x:c>
      <x:c r="I13" s="56" t="str">
        <x:v>Review full mapping</x:v>
      </x:c>
    </x:row>
    <x:row r="14">
      <x:c r="A14" s="55" t="str">
        <x:v>Assistant Principal</x:v>
      </x:c>
      <x:c r="B14" s="48" t="str">
        <x:v>Assistant Principal</x:v>
      </x:c>
      <x:c r="C14" s="50" t="n">
        <x:v>134266</x:v>
      </x:c>
      <x:c r="D14" s="48" t="str">
        <x:v>Base Funding (State Support)</x:v>
      </x:c>
      <x:c r="E14" s="48" t="str">
        <x:v>Per position</x:v>
      </x:c>
      <x:c r="F14" s="48" t="str">
        <x:v>Calculator!E14</x:v>
      </x:c>
      <x:c r="G14" s="48" t="str">
        <x:v>Calculator-supplied</x:v>
      </x:c>
      <x:c r="H14" s="48" t="str">
        <x:v>The calculator explicitly supplies this component rate.</x:v>
      </x:c>
      <x:c r="I14" s="56" t="str">
        <x:v>Review full mapping</x:v>
      </x:c>
    </x:row>
    <x:row r="15">
      <x:c r="A15" s="55" t="str">
        <x:v>Counselor / Social Worker</x:v>
      </x:c>
      <x:c r="B15" s="48" t="str">
        <x:v>Instructional Supports</x:v>
      </x:c>
      <x:c r="C15" s="50" t="n">
        <x:v>96155</x:v>
      </x:c>
      <x:c r="D15" s="48" t="str">
        <x:v>Base Funding (State Support)</x:v>
      </x:c>
      <x:c r="E15" s="48" t="str">
        <x:v>Per position</x:v>
      </x:c>
      <x:c r="F15" s="48" t="str">
        <x:v>Calculator!E16</x:v>
      </x:c>
      <x:c r="G15" s="48" t="str">
        <x:v>Analytical assumption</x:v>
      </x:c>
      <x:c r="H15" s="48" t="str">
        <x:v>The analysis assigns the Instructional Supports rate.</x:v>
      </x:c>
      <x:c r="I15" s="56" t="str">
        <x:v>Yes - mapping assumption</x:v>
      </x:c>
    </x:row>
    <x:row r="16">
      <x:c r="A16" s="55" t="str">
        <x:v>School Psychologist</x:v>
      </x:c>
      <x:c r="B16" s="48" t="str">
        <x:v>Instructional Supports</x:v>
      </x:c>
      <x:c r="C16" s="50" t="n">
        <x:v>96155</x:v>
      </x:c>
      <x:c r="D16" s="48" t="str">
        <x:v>Base Funding (State Support)</x:v>
      </x:c>
      <x:c r="E16" s="48" t="str">
        <x:v>Per position</x:v>
      </x:c>
      <x:c r="F16" s="48" t="str">
        <x:v>Calculator!E16</x:v>
      </x:c>
      <x:c r="G16" s="48" t="str">
        <x:v>Analytical assumption</x:v>
      </x:c>
      <x:c r="H16" s="48" t="str">
        <x:v>The analysis assigns the Instructional Supports rate.</x:v>
      </x:c>
      <x:c r="I16" s="56" t="str">
        <x:v>Yes - mapping assumption</x:v>
      </x:c>
    </x:row>
    <x:row r="17">
      <x:c r="A17" s="55" t="str">
        <x:v>Nurse</x:v>
      </x:c>
      <x:c r="B17" s="48" t="str">
        <x:v>Instructional Supports</x:v>
      </x:c>
      <x:c r="C17" s="50" t="n">
        <x:v>96155</x:v>
      </x:c>
      <x:c r="D17" s="48" t="str">
        <x:v>Base Funding (State Support)</x:v>
      </x:c>
      <x:c r="E17" s="48" t="str">
        <x:v>Per position</x:v>
      </x:c>
      <x:c r="F17" s="48" t="str">
        <x:v>Calculator!E16</x:v>
      </x:c>
      <x:c r="G17" s="48" t="str">
        <x:v>Documented crosswalk</x:v>
      </x:c>
      <x:c r="H17" s="48" t="str">
        <x:v>The proposed model combines nursing into Instructional Supports.</x:v>
      </x:c>
      <x:c r="I17" s="56" t="str">
        <x:v>Review full mapping</x:v>
      </x:c>
    </x:row>
    <x:row r="18">
      <x:c r="A18" s="55" t="str">
        <x:v>Academic Excellence</x:v>
      </x:c>
      <x:c r="B18" s="48" t="str">
        <x:v>Instructional Supports</x:v>
      </x:c>
      <x:c r="C18" s="50" t="n">
        <x:v>96155</x:v>
      </x:c>
      <x:c r="D18" s="48" t="str">
        <x:v>Base Funding (State Support)</x:v>
      </x:c>
      <x:c r="E18" s="48" t="str">
        <x:v>Per position</x:v>
      </x:c>
      <x:c r="F18" s="48" t="str">
        <x:v>Calculator!E16</x:v>
      </x:c>
      <x:c r="G18" s="48" t="str">
        <x:v>Documented crosswalk</x:v>
      </x:c>
      <x:c r="H18" s="48" t="str">
        <x:v>The proposed model combines Academic Excellence into Instructional Supports.</x:v>
      </x:c>
      <x:c r="I18" s="56" t="str">
        <x:v>Review full mapping</x:v>
      </x:c>
    </x:row>
    <x:row r="19">
      <x:c r="A19" s="55" t="str">
        <x:v>Secretary</x:v>
      </x:c>
      <x:c r="B19" s="48" t="str">
        <x:v>Administrative Support Professionals</x:v>
      </x:c>
      <x:c r="C19" s="50" t="n">
        <x:v>74017</x:v>
      </x:c>
      <x:c r="D19" s="48" t="str">
        <x:v>Base Funding (State Support)</x:v>
      </x:c>
      <x:c r="E19" s="48" t="str">
        <x:v>Per position</x:v>
      </x:c>
      <x:c r="F19" s="48" t="str">
        <x:v>Calculator!E15</x:v>
      </x:c>
      <x:c r="G19" s="48" t="str">
        <x:v>Analytical assumption</x:v>
      </x:c>
      <x:c r="H19" s="48" t="str">
        <x:v>The analysis assigns the Administrative Support Professionals rate.</x:v>
      </x:c>
      <x:c r="I19" s="56" t="str">
        <x:v>Yes - mapping assumption</x:v>
      </x:c>
    </x:row>
    <x:row r="20">
      <x:c r="A20" s="55" t="str">
        <x:v>Driver Education Teacher</x:v>
      </x:c>
      <x:c r="B20" s="48" t="str">
        <x:v>Instructional Supports</x:v>
      </x:c>
      <x:c r="C20" s="50" t="n">
        <x:v>96155</x:v>
      </x:c>
      <x:c r="D20" s="48" t="str">
        <x:v>Base Funding (State Support)</x:v>
      </x:c>
      <x:c r="E20" s="48" t="str">
        <x:v>Per position</x:v>
      </x:c>
      <x:c r="F20" s="48" t="str">
        <x:v>Calculator!E16</x:v>
      </x:c>
      <x:c r="G20" s="48" t="str">
        <x:v>Documented crosswalk</x:v>
      </x:c>
      <x:c r="H20" s="48" t="str">
        <x:v>The proposed model combines Driver Education into Instructional Supports.</x:v>
      </x:c>
      <x:c r="I20" s="56" t="str">
        <x:v>Review full mapping</x:v>
      </x:c>
    </x:row>
    <x:row r="21">
      <x:c r="A21" s="55" t="str">
        <x:v>Custodians</x:v>
      </x:c>
      <x:c r="B21" s="48" t="str">
        <x:v>No PEFC workbook mapping identified</x:v>
      </x:c>
      <x:c r="C21" s="50"/>
      <x:c r="D21" s="48" t="str"/>
      <x:c r="E21" s="48" t="str"/>
      <x:c r="F21" s="48" t="str"/>
      <x:c r="G21" s="48" t="str">
        <x:v>Not available</x:v>
      </x:c>
      <x:c r="H21" s="48" t="str">
        <x:v>No defensible calculator rate or documented crosswalk was identified.</x:v>
      </x:c>
      <x:c r="I21" s="56" t="str">
        <x:v>Yes - no PEFC rate identified</x:v>
      </x:c>
    </x:row>
    <x:row r="22">
      <x:c r="A22" s="55" t="str">
        <x:v>Cafeteria Manager</x:v>
      </x:c>
      <x:c r="B22" s="48" t="str">
        <x:v>No PEFC workbook mapping identified</x:v>
      </x:c>
      <x:c r="C22" s="50"/>
      <x:c r="D22" s="48" t="str"/>
      <x:c r="E22" s="48" t="str"/>
      <x:c r="F22" s="48" t="str"/>
      <x:c r="G22" s="48" t="str">
        <x:v>Not available</x:v>
      </x:c>
      <x:c r="H22" s="48" t="str">
        <x:v>No defensible calculator rate or documented crosswalk was identified.</x:v>
      </x:c>
      <x:c r="I22" s="56" t="str">
        <x:v>Yes - no PEFC rate identified</x:v>
      </x:c>
    </x:row>
    <x:row r="23">
      <x:c r="A23" s="55" t="str">
        <x:v>Cafeteria Worker</x:v>
      </x:c>
      <x:c r="B23" s="48" t="str">
        <x:v>No PEFC workbook mapping identified</x:v>
      </x:c>
      <x:c r="C23" s="50"/>
      <x:c r="D23" s="48" t="str"/>
      <x:c r="E23" s="48" t="str"/>
      <x:c r="F23" s="48" t="str"/>
      <x:c r="G23" s="48" t="str">
        <x:v>Not available</x:v>
      </x:c>
      <x:c r="H23" s="48" t="str">
        <x:v>No defensible calculator rate or documented crosswalk was identified.</x:v>
      </x:c>
      <x:c r="I23" s="56" t="str">
        <x:v>Yes - no PEFC rate identified</x:v>
      </x:c>
    </x:row>
    <x:row r="24">
      <x:c r="A24" s="55" t="str">
        <x:v>Superintendent</x:v>
      </x:c>
      <x:c r="B24" s="48" t="str">
        <x:v>Superintendent</x:v>
      </x:c>
      <x:c r="C24" s="50" t="n">
        <x:v>188319</x:v>
      </x:c>
      <x:c r="D24" s="48" t="str">
        <x:v>Central Office Funding (State Support)</x:v>
      </x:c>
      <x:c r="E24" s="48" t="str">
        <x:v>Per position</x:v>
      </x:c>
      <x:c r="F24" s="48" t="str">
        <x:v>Calculator!E35</x:v>
      </x:c>
      <x:c r="G24" s="48" t="str">
        <x:v>Calculator-supplied</x:v>
      </x:c>
      <x:c r="H24" s="48" t="str">
        <x:v>The calculator explicitly supplies this component rate.</x:v>
      </x:c>
      <x:c r="I24" s="56" t="str">
        <x:v>Review full mapping</x:v>
      </x:c>
    </x:row>
    <x:row r="25">
      <x:c r="A25" s="55" t="str">
        <x:v>Assistant Superintendent</x:v>
      </x:c>
      <x:c r="B25" s="48" t="str">
        <x:v>Assistant Superintendent</x:v>
      </x:c>
      <x:c r="C25" s="50" t="n">
        <x:v>167858</x:v>
      </x:c>
      <x:c r="D25" s="48" t="str">
        <x:v>Central Office Funding (State Support)</x:v>
      </x:c>
      <x:c r="E25" s="48" t="str">
        <x:v>Per position</x:v>
      </x:c>
      <x:c r="F25" s="48" t="str">
        <x:v>Calculator!E37</x:v>
      </x:c>
      <x:c r="G25" s="48" t="str">
        <x:v>Calculator-supplied</x:v>
      </x:c>
      <x:c r="H25" s="48" t="str">
        <x:v>The calculator explicitly supplies this component rate.</x:v>
      </x:c>
      <x:c r="I25" s="56" t="str">
        <x:v>Review full mapping</x:v>
      </x:c>
    </x:row>
    <x:row r="26">
      <x:c r="A26" s="55" t="str">
        <x:v>Director</x:v>
      </x:c>
      <x:c r="B26" s="48" t="str">
        <x:v>Director</x:v>
      </x:c>
      <x:c r="C26" s="50" t="n">
        <x:v>166369</x:v>
      </x:c>
      <x:c r="D26" s="48" t="str">
        <x:v>Central Office Funding (State Support)</x:v>
      </x:c>
      <x:c r="E26" s="48" t="str">
        <x:v>Per position</x:v>
      </x:c>
      <x:c r="F26" s="48" t="str">
        <x:v>Calculator!E38</x:v>
      </x:c>
      <x:c r="G26" s="48" t="str">
        <x:v>Calculator-supplied</x:v>
      </x:c>
      <x:c r="H26" s="48" t="str">
        <x:v>The calculator explicitly supplies this component rate.</x:v>
      </x:c>
      <x:c r="I26" s="56" t="str">
        <x:v>Review full mapping</x:v>
      </x:c>
    </x:row>
    <x:row r="27">
      <x:c r="A27" s="55" t="str">
        <x:v>Administrative Assistant</x:v>
      </x:c>
      <x:c r="B27" s="48" t="str">
        <x:v>Administrative Assistant</x:v>
      </x:c>
      <x:c r="C27" s="50" t="n">
        <x:v>111365</x:v>
      </x:c>
      <x:c r="D27" s="48" t="str">
        <x:v>Central Office Funding (State Support)</x:v>
      </x:c>
      <x:c r="E27" s="48" t="str">
        <x:v>Per position</x:v>
      </x:c>
      <x:c r="F27" s="48" t="str">
        <x:v>Calculator!E36</x:v>
      </x:c>
      <x:c r="G27" s="48" t="str">
        <x:v>Calculator-supplied</x:v>
      </x:c>
      <x:c r="H27" s="48" t="str">
        <x:v>The calculator explicitly supplies this component rate.</x:v>
      </x:c>
      <x:c r="I27" s="56" t="str">
        <x:v>Review full mapping</x:v>
      </x:c>
    </x:row>
    <x:row r="28">
      <x:c r="A28" s="55" t="str">
        <x:v>11-Month Supervisor</x:v>
      </x:c>
      <x:c r="B28" s="48" t="str">
        <x:v>11-Month Supervisor</x:v>
      </x:c>
      <x:c r="C28" s="50" t="n">
        <x:v>113281.67</x:v>
      </x:c>
      <x:c r="D28" s="48" t="str">
        <x:v>Central Office Funding (State Support)</x:v>
      </x:c>
      <x:c r="E28" s="48" t="str">
        <x:v>Per position</x:v>
      </x:c>
      <x:c r="F28" s="48" t="str">
        <x:v>Calculator!E39</x:v>
      </x:c>
      <x:c r="G28" s="48" t="str">
        <x:v>Calculator-supplied</x:v>
      </x:c>
      <x:c r="H28" s="48" t="str">
        <x:v>The calculator explicitly supplies this component rate.</x:v>
      </x:c>
      <x:c r="I28" s="56" t="str">
        <x:v>Review full mapping</x:v>
      </x:c>
    </x:row>
    <x:row r="29">
      <x:c r="A29" s="55" t="str">
        <x:v>Related Services Specialist - Basic</x:v>
      </x:c>
      <x:c r="B29" s="48" t="str">
        <x:v>Instructional Supports</x:v>
      </x:c>
      <x:c r="C29" s="50" t="n">
        <x:v>96155</x:v>
      </x:c>
      <x:c r="D29" s="48" t="str">
        <x:v>Base Funding (State Support)</x:v>
      </x:c>
      <x:c r="E29" s="48" t="str">
        <x:v>Per position</x:v>
      </x:c>
      <x:c r="F29" s="48" t="str">
        <x:v>Calculator!E16</x:v>
      </x:c>
      <x:c r="G29" s="48" t="str">
        <x:v>Documented crosswalk</x:v>
      </x:c>
      <x:c r="H29" s="48" t="str">
        <x:v>The proposed model combines Related Services into Instructional Supports.</x:v>
      </x:c>
      <x:c r="I29" s="56" t="str">
        <x:v>Review full mapping</x:v>
      </x:c>
    </x:row>
    <x:row r="30">
      <x:c r="A30" s="55" t="str">
        <x:v>Related Services Specialist - Intensive</x:v>
      </x:c>
      <x:c r="B30" s="48" t="str">
        <x:v>Instructional Supports</x:v>
      </x:c>
      <x:c r="C30" s="50" t="n">
        <x:v>96155</x:v>
      </x:c>
      <x:c r="D30" s="48" t="str">
        <x:v>Base Funding (State Support)</x:v>
      </x:c>
      <x:c r="E30" s="48" t="str">
        <x:v>Per position</x:v>
      </x:c>
      <x:c r="F30" s="48" t="str">
        <x:v>Calculator!E16</x:v>
      </x:c>
      <x:c r="G30" s="48" t="str">
        <x:v>Documented crosswalk</x:v>
      </x:c>
      <x:c r="H30" s="48" t="str">
        <x:v>The proposed model combines Related Services into Instructional Supports.</x:v>
      </x:c>
      <x:c r="I30" s="56" t="str">
        <x:v>Review full mapping</x:v>
      </x:c>
    </x:row>
    <x:row r="31">
      <x:c r="A31" s="55" t="str">
        <x:v>Related Services Specialist - Complex</x:v>
      </x:c>
      <x:c r="B31" s="48" t="str">
        <x:v>Instructional Supports</x:v>
      </x:c>
      <x:c r="C31" s="50" t="n">
        <x:v>96155</x:v>
      </x:c>
      <x:c r="D31" s="48" t="str">
        <x:v>Base Funding (State Support)</x:v>
      </x:c>
      <x:c r="E31" s="48" t="str">
        <x:v>Per position</x:v>
      </x:c>
      <x:c r="F31" s="48" t="str">
        <x:v>Calculator!E16</x:v>
      </x:c>
      <x:c r="G31" s="48" t="str">
        <x:v>Documented crosswalk</x:v>
      </x:c>
      <x:c r="H31" s="48" t="str">
        <x:v>The proposed model combines Related Services into Instructional Supports.</x:v>
      </x:c>
      <x:c r="I31" s="56" t="str">
        <x:v>Review full mapping</x:v>
      </x:c>
    </x:row>
    <x:row r="32">
      <x:c r="A32" s="55" t="str">
        <x:v>Visiting Teacher</x:v>
      </x:c>
      <x:c r="B32" s="48" t="str">
        <x:v>Instructional Supports</x:v>
      </x:c>
      <x:c r="C32" s="50" t="n">
        <x:v>96155</x:v>
      </x:c>
      <x:c r="D32" s="48" t="str">
        <x:v>Base Funding (State Support)</x:v>
      </x:c>
      <x:c r="E32" s="48" t="str">
        <x:v>Per position</x:v>
      </x:c>
      <x:c r="F32" s="48" t="str">
        <x:v>Calculator!E16</x:v>
      </x:c>
      <x:c r="G32" s="48" t="str">
        <x:v>Analytical assumption</x:v>
      </x:c>
      <x:c r="H32" s="48" t="str">
        <x:v>The analysis assigns the Instructional Supports rate.</x:v>
      </x:c>
      <x:c r="I32" s="56" t="str">
        <x:v>Yes - mapping assumption</x:v>
      </x:c>
    </x:row>
    <x:row r="33">
      <x:c r="A33" s="55" t="str">
        <x:v>Buildings and Grounds Supervisor</x:v>
      </x:c>
      <x:c r="B33" s="48" t="str">
        <x:v>Buildings and Grounds Supervisor</x:v>
      </x:c>
      <x:c r="C33" s="50" t="n">
        <x:v>123580</x:v>
      </x:c>
      <x:c r="D33" s="48" t="str">
        <x:v>Central Office Funding (State Support)</x:v>
      </x:c>
      <x:c r="E33" s="48" t="str">
        <x:v>Per position</x:v>
      </x:c>
      <x:c r="F33" s="48" t="str">
        <x:v>Calculator!E40</x:v>
      </x:c>
      <x:c r="G33" s="48" t="str">
        <x:v>Calculator-supplied</x:v>
      </x:c>
      <x:c r="H33" s="48" t="str">
        <x:v>The calculator explicitly supplies this component rate.</x:v>
      </x:c>
      <x:c r="I33" s="56" t="str">
        <x:v>Review full mapping</x:v>
      </x:c>
    </x:row>
    <x:row r="34">
      <x:c r="A34" s="55" t="str">
        <x:v>Food Services Supervisor</x:v>
      </x:c>
      <x:c r="B34" s="48" t="str">
        <x:v>Food Services Supervisor</x:v>
      </x:c>
      <x:c r="C34" s="50" t="n">
        <x:v>123580</x:v>
      </x:c>
      <x:c r="D34" s="48" t="str">
        <x:v>Central Office Funding (State Support)</x:v>
      </x:c>
      <x:c r="E34" s="48" t="str">
        <x:v>Per position</x:v>
      </x:c>
      <x:c r="F34" s="48" t="str">
        <x:v>Calculator!E41</x:v>
      </x:c>
      <x:c r="G34" s="48" t="str">
        <x:v>Calculator-supplied</x:v>
      </x:c>
      <x:c r="H34" s="48" t="str">
        <x:v>The calculator explicitly supplies this component rate.</x:v>
      </x:c>
      <x:c r="I34" s="56" t="str">
        <x:v>Review full mapping</x:v>
      </x:c>
    </x:row>
    <x:row r="35">
      <x:c r="A35" s="55" t="str">
        <x:v>Transportation Supervisor</x:v>
      </x:c>
      <x:c r="B35" s="48" t="str">
        <x:v>Transportation Supervisor</x:v>
      </x:c>
      <x:c r="C35" s="50" t="n">
        <x:v>123580</x:v>
      </x:c>
      <x:c r="D35" s="48" t="str">
        <x:v>Central Office Funding (State Support)</x:v>
      </x:c>
      <x:c r="E35" s="48" t="str">
        <x:v>Per position</x:v>
      </x:c>
      <x:c r="F35" s="48" t="str">
        <x:v>Calculator!E42</x:v>
      </x:c>
      <x:c r="G35" s="48" t="str">
        <x:v>Calculator-supplied</x:v>
      </x:c>
      <x:c r="H35" s="48" t="str">
        <x:v>The calculator explicitly supplies this component rate.</x:v>
      </x:c>
      <x:c r="I35" s="56" t="str">
        <x:v>Review full mapping</x:v>
      </x:c>
    </x:row>
    <x:row r="36">
      <x:c r="A36" s="57" t="str">
        <x:v>Reading Cadre</x:v>
      </x:c>
      <x:c r="B36" s="58" t="str">
        <x:v>Reading Cadre</x:v>
      </x:c>
      <x:c r="C36" s="59" t="n">
        <x:v>96155</x:v>
      </x:c>
      <x:c r="D36" s="58" t="str">
        <x:v>Central Office Funding (State Support)</x:v>
      </x:c>
      <x:c r="E36" s="58" t="str">
        <x:v>Per position</x:v>
      </x:c>
      <x:c r="F36" s="58" t="str">
        <x:v>Calculator!E43</x:v>
      </x:c>
      <x:c r="G36" s="58" t="str">
        <x:v>Calculator-supplied</x:v>
      </x:c>
      <x:c r="H36" s="58" t="str">
        <x:v>The calculator explicitly supplies this component rate.</x:v>
      </x:c>
      <x:c r="I36" s="60" t="str">
        <x:v>Review full mapping</x:v>
      </x:c>
    </x:row>
  </x:sheetData>
  <x:mergeCells>
    <x:mergeCell ref="A1:I1"/>
    <x:mergeCell ref="A2:I2"/>
  </x:mergeCells>
  <x:conditionalFormatting sqref="I5:I36">
    <x:cfRule type="expression" dxfId="0" priority="1">
      <x:formula>LEFT(I5,3)="Yes"</x:formula>
    </x:cfRule>
    <x:cfRule type="expression" dxfId="1" priority="2">
      <x:formula>I5="Review full mapping"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ebfcf0104f43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3" max="3" width="14" hidden="0" customWidth="1"/>
    <x:col min="4" max="4" width="22" hidden="0" customWidth="1"/>
    <x:col min="5" max="5" width="58" hidden="0" customWidth="1"/>
    <x:col min="6" max="6" width="50" hidden="0" customWidth="1"/>
  </x:cols>
  <x:sheetData>
    <x:row r="1" ht="26" customHeight="1">
      <x:c r="A1" s="5" t="str">
        <x:v>Items to Confirm with Finance</x:v>
      </x:c>
      <x:c r="B1" s="5"/>
      <x:c r="C1" s="5"/>
      <x:c r="D1" s="5"/>
      <x:c r="E1" s="5"/>
      <x:c r="F1" s="5"/>
    </x:row>
    <x:row r="2" ht="38" customHeight="1">
      <x:c r="A2" s="13" t="str">
        <x:v>These are the current-model categories mapped through an analytical assumption or without an identified PEFC workbook rate.</x:v>
      </x:c>
      <x:c r="B2" s="13"/>
      <x:c r="C2" s="13"/>
      <x:c r="D2" s="13"/>
      <x:c r="E2" s="13"/>
      <x:c r="F2" s="13"/>
    </x:row>
    <x:row r="4" ht="34" customHeight="1">
      <x:c r="A4" s="52" t="str">
        <x:v>Current Model Component</x:v>
      </x:c>
      <x:c r="B4" s="53" t="str">
        <x:v>Current PEFC Mapping</x:v>
      </x:c>
      <x:c r="C4" s="53" t="str">
        <x:v>PEFC Rate</x:v>
      </x:c>
      <x:c r="D4" s="53" t="str">
        <x:v>Evidence Classification</x:v>
      </x:c>
      <x:c r="E4" s="53" t="str">
        <x:v>Current Rationale</x:v>
      </x:c>
      <x:c r="F4" s="54" t="str">
        <x:v>Finance Question</x:v>
      </x:c>
    </x:row>
    <x:row r="5">
      <x:c r="A5" s="55" t="str">
        <x:v>Counselor / Social Worker</x:v>
      </x:c>
      <x:c r="B5" s="48" t="str">
        <x:v>Instructional Supports</x:v>
      </x:c>
      <x:c r="C5" s="50" t="n">
        <x:v>96155</x:v>
      </x:c>
      <x:c r="D5" s="48" t="str">
        <x:v>Analytical assumption</x:v>
      </x:c>
      <x:c r="E5" s="48" t="str">
        <x:v>The analysis assigns the Instructional Supports rate.</x:v>
      </x:c>
      <x:c r="F5" s="56" t="str">
        <x:v>Is this the most appropriate PEFC rate category for the current-model component?</x:v>
      </x:c>
    </x:row>
    <x:row r="6">
      <x:c r="A6" s="55" t="str">
        <x:v>School Psychologist</x:v>
      </x:c>
      <x:c r="B6" s="48" t="str">
        <x:v>Instructional Supports</x:v>
      </x:c>
      <x:c r="C6" s="50" t="n">
        <x:v>96155</x:v>
      </x:c>
      <x:c r="D6" s="48" t="str">
        <x:v>Analytical assumption</x:v>
      </x:c>
      <x:c r="E6" s="48" t="str">
        <x:v>The analysis assigns the Instructional Supports rate.</x:v>
      </x:c>
      <x:c r="F6" s="56" t="str">
        <x:v>Is this the most appropriate PEFC rate category for the current-model component?</x:v>
      </x:c>
    </x:row>
    <x:row r="7">
      <x:c r="A7" s="55" t="str">
        <x:v>Secretary</x:v>
      </x:c>
      <x:c r="B7" s="48" t="str">
        <x:v>Administrative Support Professionals</x:v>
      </x:c>
      <x:c r="C7" s="50" t="n">
        <x:v>74017</x:v>
      </x:c>
      <x:c r="D7" s="48" t="str">
        <x:v>Analytical assumption</x:v>
      </x:c>
      <x:c r="E7" s="48" t="str">
        <x:v>The analysis assigns the Administrative Support Professionals rate.</x:v>
      </x:c>
      <x:c r="F7" s="56" t="str">
        <x:v>Is this the most appropriate PEFC rate category for the current-model component?</x:v>
      </x:c>
    </x:row>
    <x:row r="8">
      <x:c r="A8" s="55" t="str">
        <x:v>Custodians</x:v>
      </x:c>
      <x:c r="B8" s="48" t="str">
        <x:v>No PEFC workbook mapping identified</x:v>
      </x:c>
      <x:c r="C8" s="50"/>
      <x:c r="D8" s="48" t="str">
        <x:v>Not available</x:v>
      </x:c>
      <x:c r="E8" s="48" t="str">
        <x:v>No defensible calculator rate or documented crosswalk was identified.</x:v>
      </x:c>
      <x:c r="F8" s="56" t="str">
        <x:v>What PEFC rate, if any, should be used for an apples-to-apples comparison?</x:v>
      </x:c>
    </x:row>
    <x:row r="9">
      <x:c r="A9" s="55" t="str">
        <x:v>Cafeteria Manager</x:v>
      </x:c>
      <x:c r="B9" s="48" t="str">
        <x:v>No PEFC workbook mapping identified</x:v>
      </x:c>
      <x:c r="C9" s="50"/>
      <x:c r="D9" s="48" t="str">
        <x:v>Not available</x:v>
      </x:c>
      <x:c r="E9" s="48" t="str">
        <x:v>No defensible calculator rate or documented crosswalk was identified.</x:v>
      </x:c>
      <x:c r="F9" s="56" t="str">
        <x:v>What PEFC rate, if any, should be used for an apples-to-apples comparison?</x:v>
      </x:c>
    </x:row>
    <x:row r="10">
      <x:c r="A10" s="55" t="str">
        <x:v>Cafeteria Worker</x:v>
      </x:c>
      <x:c r="B10" s="48" t="str">
        <x:v>No PEFC workbook mapping identified</x:v>
      </x:c>
      <x:c r="C10" s="50"/>
      <x:c r="D10" s="48" t="str">
        <x:v>Not available</x:v>
      </x:c>
      <x:c r="E10" s="48" t="str">
        <x:v>No defensible calculator rate or documented crosswalk was identified.</x:v>
      </x:c>
      <x:c r="F10" s="56" t="str">
        <x:v>What PEFC rate, if any, should be used for an apples-to-apples comparison?</x:v>
      </x:c>
    </x:row>
    <x:row r="11">
      <x:c r="A11" s="57" t="str">
        <x:v>Visiting Teacher</x:v>
      </x:c>
      <x:c r="B11" s="58" t="str">
        <x:v>Instructional Supports</x:v>
      </x:c>
      <x:c r="C11" s="59" t="n">
        <x:v>96155</x:v>
      </x:c>
      <x:c r="D11" s="58" t="str">
        <x:v>Analytical assumption</x:v>
      </x:c>
      <x:c r="E11" s="58" t="str">
        <x:v>The analysis assigns the Instructional Supports rate.</x:v>
      </x:c>
      <x:c r="F11" s="60" t="str">
        <x:v>Is this the most appropriate PEFC rate category for the current-model component?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fffff6c1d724d74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1E8E4F7969D4C8BCB20B321513B3F" ma:contentTypeVersion="12" ma:contentTypeDescription="Create a new document." ma:contentTypeScope="" ma:versionID="02301ece707c47d55064c1462317e872">
  <xsd:schema xmlns:xsd="http://www.w3.org/2001/XMLSchema" xmlns:xs="http://www.w3.org/2001/XMLSchema" xmlns:p="http://schemas.microsoft.com/office/2006/metadata/properties" xmlns:ns2="6ebc68b0-7f3c-4577-b3f0-5291d71a0faf" targetNamespace="http://schemas.microsoft.com/office/2006/metadata/properties" ma:root="true" ma:fieldsID="c0ae8da7727f67fdcf1f40ff4ad57e3e" ns2:_="">
    <xsd:import namespace="6ebc68b0-7f3c-4577-b3f0-5291d71a0f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bc68b0-7f3c-4577-b3f0-5291d71a0f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a00141d-80f0-4ca7-8ba9-0163cf3648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bc68b0-7f3c-4577-b3f0-5291d71a0f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689B8E-5150-44C3-9721-58D10DF1C37C}"/>
</file>

<file path=customXml/itemProps2.xml><?xml version="1.0" encoding="utf-8"?>
<ds:datastoreItem xmlns:ds="http://schemas.openxmlformats.org/officeDocument/2006/customXml" ds:itemID="{9F429A01-4C0E-4F49-B89C-B14115E5F544}"/>
</file>

<file path=customXml/itemProps3.xml><?xml version="1.0" encoding="utf-8"?>
<ds:datastoreItem xmlns:ds="http://schemas.openxmlformats.org/officeDocument/2006/customXml" ds:itemID="{25CE3546-C32A-4480-A49E-D0C8B1CA38E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0x0101005461E8E4F7969D4C8BCB20B321513B3F</vt:lpwstr>
  </property>
</Properties>
</file>