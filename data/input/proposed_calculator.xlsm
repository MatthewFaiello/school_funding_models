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esleywei/Downloads/"/>
    </mc:Choice>
  </mc:AlternateContent>
  <xr:revisionPtr revIDLastSave="0" documentId="8_{AE592562-2774-3842-B4CA-01251822E7D1}" xr6:coauthVersionLast="47" xr6:coauthVersionMax="47" xr10:uidLastSave="{00000000-0000-0000-0000-000000000000}"/>
  <bookViews>
    <workbookView xWindow="38400" yWindow="8060" windowWidth="38400" windowHeight="21000" activeTab="1" xr2:uid="{A863D182-6A86-4713-9CF5-0B6F9513CFB2}"/>
  </bookViews>
  <sheets>
    <sheet name="State Totals" sheetId="26" r:id="rId1"/>
    <sheet name="Calculator" sheetId="23" r:id="rId2"/>
    <sheet name="Summary" sheetId="27" r:id="rId3"/>
    <sheet name="Diagnostics" sheetId="55" r:id="rId4"/>
    <sheet name="Data" sheetId="22" r:id="rId5"/>
    <sheet name="CTE Data" sheetId="47" r:id="rId6"/>
    <sheet name="School List for Drop-Down" sheetId="24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B17" i="26" s="1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D17" i="26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l="1"/>
  <c r="F54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<sst xmlns="http://schemas.openxmlformats.org/spreadsheetml/2006/main" count="2121" uniqueCount="483">
  <si>
    <t>State Totals</t>
  </si>
  <si>
    <t>Funding Amounts</t>
  </si>
  <si>
    <t>Opportunity Funding</t>
  </si>
  <si>
    <t>Opperational Funding</t>
  </si>
  <si>
    <t>Additional Funding (Split 50/50 between the two funds)</t>
  </si>
  <si>
    <t>Enrollment</t>
  </si>
  <si>
    <t>Weights</t>
  </si>
  <si>
    <t>Weighted Enrollment</t>
  </si>
  <si>
    <t>LI</t>
  </si>
  <si>
    <t>MLL</t>
  </si>
  <si>
    <t>Total Weighted Count</t>
  </si>
  <si>
    <t>Funding Total</t>
  </si>
  <si>
    <t>Base Funding Amount</t>
  </si>
  <si>
    <t>Basic - Pre-K-12</t>
  </si>
  <si>
    <t>Intense - Pre-K-12</t>
  </si>
  <si>
    <t>Complex - Pre-K-12</t>
  </si>
  <si>
    <t>Vocational</t>
  </si>
  <si>
    <t>Calculator Tab data provided by DE personnel</t>
  </si>
  <si>
    <t>District/Charter Name</t>
  </si>
  <si>
    <t>Statewide</t>
  </si>
  <si>
    <t>Additional State Funding</t>
  </si>
  <si>
    <t>School Name</t>
  </si>
  <si>
    <t xml:space="preserve">Open Items: </t>
  </si>
  <si>
    <t>Base Funding (State Support)</t>
  </si>
  <si>
    <t>1. Equalization</t>
  </si>
  <si>
    <t>Category</t>
  </si>
  <si>
    <t>Weight</t>
  </si>
  <si>
    <t>Positions</t>
  </si>
  <si>
    <t>Funding Rate</t>
  </si>
  <si>
    <t>Total Funding</t>
  </si>
  <si>
    <t>2. Local Funding Reform</t>
  </si>
  <si>
    <t>Division I</t>
  </si>
  <si>
    <t>Notes</t>
  </si>
  <si>
    <t>3. Tier LI, MLL and Vocational</t>
  </si>
  <si>
    <t>Regular -  K-3</t>
  </si>
  <si>
    <t>1 Position per 16.2 Regular Ed Students in Grades Kindergarten through Third</t>
  </si>
  <si>
    <t>Regular - 4-12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</si>
  <si>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</si>
  <si>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</si>
  <si>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</si>
  <si>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</si>
  <si>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>Vocational Deduct</t>
  </si>
  <si>
    <t xml:space="preserve">1 Position per every 27,000 minutes of student enrollment in DOE-approved CTE courses, after which a ½-Position vocational deduct is applied to offset the additional Operational funding. </t>
  </si>
  <si>
    <t>Vocational Division I</t>
  </si>
  <si>
    <t>Principal</t>
  </si>
  <si>
    <t>1 Position per School</t>
  </si>
  <si>
    <t>Assistant Principal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</si>
  <si>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</si>
  <si>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>Administrative Support Professionals</t>
  </si>
  <si>
    <t xml:space="preserve">1 Position per ten Division I, Principal and Instructional Support Positions for the first 100 positions; 1 for evert 12 thereafter. </t>
  </si>
  <si>
    <t>Instructional Supports</t>
  </si>
  <si>
    <t xml:space="preserve">15 Percent of Division I Positions Earned - collapses positions like Academix Excelence, Related Service, Nursing, Driver's Ed, Mental Health, etc. </t>
  </si>
  <si>
    <t>Total Base Funding (State Support)</t>
  </si>
  <si>
    <t>Opportunity Funding (State Support)</t>
  </si>
  <si>
    <t># of LI Students Enrolled multiplied by the weight</t>
  </si>
  <si>
    <t># of MLL Students Enrolled multiplied by the weight</t>
  </si>
  <si>
    <t>Total Opportunity Funding (State Support)</t>
  </si>
  <si>
    <t>Operational Funding (State Support)</t>
  </si>
  <si>
    <t># of Regular Ed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</si>
  <si>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</si>
  <si>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</si>
  <si>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</si>
  <si>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# of Vocatioal Students Enrolled multiplied by the weight</t>
  </si>
  <si>
    <t>Total Operational Funding (State Support)</t>
  </si>
  <si>
    <t>Central Office Funding (State Support)</t>
  </si>
  <si>
    <t xml:space="preserve">Central Office Positions </t>
  </si>
  <si>
    <t>Superintendent</t>
  </si>
  <si>
    <t>1 Position per District or Charter</t>
  </si>
  <si>
    <t>Administrative Assistant</t>
  </si>
  <si>
    <t>Assistant Superintendent</t>
  </si>
  <si>
    <t>1 Position per 300 Division I Positions (max of 2)</t>
  </si>
  <si>
    <t>Director</t>
  </si>
  <si>
    <t>1 Position for the first 200 Division I Positions plus 1 for each additional 100 Division I Positions (max of 6)</t>
  </si>
  <si>
    <t>11-Month Supervisor</t>
  </si>
  <si>
    <t>1 Position per 150 Division I Positions</t>
  </si>
  <si>
    <t>Buildings and Grounds Supervisor</t>
  </si>
  <si>
    <t>Food Services Supervisor</t>
  </si>
  <si>
    <t xml:space="preserve">1 Position per District or Charter. Earned at a rate of 1 Position per 500 Division I Positions Beyond the First 500. </t>
  </si>
  <si>
    <t>Transportation Supervisor</t>
  </si>
  <si>
    <t>1 Position per 7,500 Students</t>
  </si>
  <si>
    <t>Reading Cadre</t>
  </si>
  <si>
    <t>Total Central Office Positions (State Support)</t>
  </si>
  <si>
    <t>Total</t>
  </si>
  <si>
    <t>Division I, Division II, General Contingency</t>
  </si>
  <si>
    <t>Mental Health Services</t>
  </si>
  <si>
    <t>Academic Excellence</t>
  </si>
  <si>
    <t>Educational Sustainment Fund</t>
  </si>
  <si>
    <t>Related Services</t>
  </si>
  <si>
    <t>SSBG</t>
  </si>
  <si>
    <t>Amount Needed</t>
  </si>
  <si>
    <t>District</t>
  </si>
  <si>
    <t>Child</t>
  </si>
  <si>
    <t>Base Total</t>
  </si>
  <si>
    <t>Opportunity Total</t>
  </si>
  <si>
    <t>Operational Total</t>
  </si>
  <si>
    <t>Central Office Total</t>
  </si>
  <si>
    <t>Grand Total</t>
  </si>
  <si>
    <t>Type</t>
  </si>
  <si>
    <t>BasePositions (D17)</t>
  </si>
  <si>
    <t>CentralOfficePositions (D44)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</si>
  <si>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</si>
  <si>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</si>
  <si>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</si>
  <si>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</si>
  <si>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</si>
  <si>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</si>
  <si>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</si>
  <si>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</si>
  <si>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</si>
  <si>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</si>
  <si>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</si>
  <si>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</si>
  <si>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</si>
  <si>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</si>
  <si>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</si>
  <si>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</si>
  <si>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</si>
  <si>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</si>
  <si>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</si>
  <si>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</si>
  <si>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Appo</t>
  </si>
  <si>
    <t>Appoquinimink High School</t>
  </si>
  <si>
    <t>School</t>
  </si>
  <si>
    <t>Appoquinimink PreSchool Center</t>
  </si>
  <si>
    <t>Brick Mill Early Childhood Center</t>
  </si>
  <si>
    <t>Brick Mill Elementary School</t>
  </si>
  <si>
    <t>Bunker Hill Elementary School</t>
  </si>
  <si>
    <t>Cantwells Bridge Middle School</t>
  </si>
  <si>
    <t>Cedar Lane Early Childhood Center</t>
  </si>
  <si>
    <t>Cedar Lane Elementary School</t>
  </si>
  <si>
    <t>Crystal Run Elementary School</t>
  </si>
  <si>
    <t>Lorewood Grove Elementary School</t>
  </si>
  <si>
    <t>Loss (Olive B.) Elementary School</t>
  </si>
  <si>
    <t>Meredith (Everett) Middle School</t>
  </si>
  <si>
    <t>Middletown High School</t>
  </si>
  <si>
    <t>Odessa High School</t>
  </si>
  <si>
    <t>Old State Elementary School</t>
  </si>
  <si>
    <t>Redding (Louis L.) Middle School</t>
  </si>
  <si>
    <t>Silver Lake Elementary School</t>
  </si>
  <si>
    <t>Spring Meadow Early Childhood Center</t>
  </si>
  <si>
    <t>Townsend Early Childhood Center</t>
  </si>
  <si>
    <t>Townsend Elementary School</t>
  </si>
  <si>
    <t>Waters (Alfred G.) Middle School</t>
  </si>
  <si>
    <t>Appoquinimink School District</t>
  </si>
  <si>
    <t>Central Office</t>
  </si>
  <si>
    <t>Brandywine</t>
  </si>
  <si>
    <t>Brandywine High School</t>
  </si>
  <si>
    <t>Bush (Charles W.) Pre-School</t>
  </si>
  <si>
    <t>Carrcroft Elementary School</t>
  </si>
  <si>
    <t>Claymont Elementary School</t>
  </si>
  <si>
    <t>Concord High School</t>
  </si>
  <si>
    <t>duPont (Pierre S.) Middle School</t>
  </si>
  <si>
    <t>Forwood Elementary School</t>
  </si>
  <si>
    <t>Hanby Elementary School</t>
  </si>
  <si>
    <t>Harlan (David W. )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</si>
  <si>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</si>
  <si>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</si>
  <si>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</si>
  <si>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</si>
  <si>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</si>
  <si>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</si>
  <si>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</si>
  <si>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School District</t>
  </si>
  <si>
    <t>CR</t>
  </si>
  <si>
    <t>Allen Frear Elementary School</t>
  </si>
  <si>
    <t>Caesar Rodney High School</t>
  </si>
  <si>
    <t>David E. Robinson Elementary School</t>
  </si>
  <si>
    <t>F. Niel Postlethwait Middle School</t>
  </si>
  <si>
    <t>Fred Fifer III Middle School</t>
  </si>
  <si>
    <t>J. Ralph McIlvaine Early Childhood Center</t>
  </si>
  <si>
    <t>John S. Charlton School</t>
  </si>
  <si>
    <t>Magnolia Middle School</t>
  </si>
  <si>
    <t>Nellie Hughes Stokes Elementary School</t>
  </si>
  <si>
    <t>Star Hill Elementary School</t>
  </si>
  <si>
    <t>W. B. Simpson Elementary School</t>
  </si>
  <si>
    <t>W. Reily Brown Elementary School</t>
  </si>
  <si>
    <t>Caesar Rodney School District</t>
  </si>
  <si>
    <t>Cape</t>
  </si>
  <si>
    <t>Beacon Middle School</t>
  </si>
  <si>
    <t>Cape Henlopen High School</t>
  </si>
  <si>
    <t>Frederick D Thomas Middle School</t>
  </si>
  <si>
    <t>H. O. Brittingham Elementary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</si>
  <si>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</si>
  <si>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</si>
  <si>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</si>
  <si>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</si>
  <si>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</si>
  <si>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</si>
  <si>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Cape Henlopen School District</t>
  </si>
  <si>
    <t>Capital</t>
  </si>
  <si>
    <t>Booker T. Washington Elementary School</t>
  </si>
  <si>
    <t>Capital Early Childhood Center</t>
  </si>
  <si>
    <t>Central Elementary School</t>
  </si>
  <si>
    <t>Dover High School</t>
  </si>
  <si>
    <t>East Dover Early Childhood Center</t>
  </si>
  <si>
    <t>Fairview Early Childhood Center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</si>
  <si>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</si>
  <si>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</si>
  <si>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</si>
  <si>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</si>
  <si>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</si>
  <si>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</si>
  <si>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</si>
  <si>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</si>
  <si>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Capital School District</t>
  </si>
  <si>
    <t>Christina</t>
  </si>
  <si>
    <t>Brader (Henry M.) Elementary School</t>
  </si>
  <si>
    <t>Brennen School (The)</t>
  </si>
  <si>
    <t>Brookside Elementary School</t>
  </si>
  <si>
    <t>Christiana High School</t>
  </si>
  <si>
    <t>Christina - Intensive Learning Center</t>
  </si>
  <si>
    <t>Christina Early Education Center</t>
  </si>
  <si>
    <t>Delaware School for the Deaf School (DSD)</t>
  </si>
  <si>
    <t>Douglass School</t>
  </si>
  <si>
    <t>Downes (John R.) Elementary School</t>
  </si>
  <si>
    <t>Gallaher (Robert S.) Elementary School</t>
  </si>
  <si>
    <t>Gauger-Cobbs Middle School</t>
  </si>
  <si>
    <t>Glasgow High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</si>
  <si>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</si>
  <si>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</si>
  <si>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</si>
  <si>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</si>
  <si>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</si>
  <si>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</si>
  <si>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</si>
  <si>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</si>
  <si>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Newark High School</t>
  </si>
  <si>
    <t>Oberle (William) Elementary School</t>
  </si>
  <si>
    <t>Pulaski Early Education Center</t>
  </si>
  <si>
    <t>REACH/CBIP</t>
  </si>
  <si>
    <t>Shue-Medill Middle School</t>
  </si>
  <si>
    <t>Smith (Jennie E.) Elementary School</t>
  </si>
  <si>
    <t>Stubbs Early Education Center</t>
  </si>
  <si>
    <t>The Bayard School</t>
  </si>
  <si>
    <t>West Park Place Elementary School</t>
  </si>
  <si>
    <t>Wilson (Etta J.) Elementary School</t>
  </si>
  <si>
    <t>Christina School District</t>
  </si>
  <si>
    <t>Colonial</t>
  </si>
  <si>
    <t>Bedford (Gunning) Middle School</t>
  </si>
  <si>
    <t>Castle Hills Elementary School</t>
  </si>
  <si>
    <t>Downie (Carrie) Elementary School</t>
  </si>
  <si>
    <t>Eisenberg (Harry O.) Elementary School</t>
  </si>
  <si>
    <t>Leach (John G.) School</t>
  </si>
  <si>
    <t>McCullough (Calvin R. ) Middle School</t>
  </si>
  <si>
    <t>New Castle Elementary School</t>
  </si>
  <si>
    <t>Penn (William) High School</t>
  </si>
  <si>
    <t>Pleasantville Elementary School</t>
  </si>
  <si>
    <t>Read (George) Middle School</t>
  </si>
  <si>
    <t>Southern Elementary School</t>
  </si>
  <si>
    <t>The Colwyck Center</t>
  </si>
  <si>
    <t>Wilbur (Kathleen H.) Elementary</t>
  </si>
  <si>
    <t>Wilmington Manor Elementary School</t>
  </si>
  <si>
    <t>Colonial School District</t>
  </si>
  <si>
    <t>Delmar</t>
  </si>
  <si>
    <t>Delmar High School</t>
  </si>
  <si>
    <t>Delmar Middle School</t>
  </si>
  <si>
    <t>Delmar School District</t>
  </si>
  <si>
    <t>DAFB</t>
  </si>
  <si>
    <t>Dover AFB Choice</t>
  </si>
  <si>
    <t>Dover Air Force Base Middle School</t>
  </si>
  <si>
    <t>Dover AFB Off Base</t>
  </si>
  <si>
    <t>Dover Air Force Base</t>
  </si>
  <si>
    <t>Major George S. Welch Elementary School</t>
  </si>
  <si>
    <t>IR</t>
  </si>
  <si>
    <t>Clayton (John M.) Elementary School</t>
  </si>
  <si>
    <t>East Millsboro Elementary School</t>
  </si>
  <si>
    <t>Ennis (Howard T.) School</t>
  </si>
  <si>
    <t>Georgetown Elementary School</t>
  </si>
  <si>
    <t>Georgetown Middle School</t>
  </si>
  <si>
    <t>Indian River High School</t>
  </si>
  <si>
    <t>Indian River Intensive Learning Center</t>
  </si>
  <si>
    <t>Long Neck Elementary School</t>
  </si>
  <si>
    <t>Lord Baltimore Elementary School</t>
  </si>
  <si>
    <t>North Georgetown Elementary School</t>
  </si>
  <si>
    <t>Selbyville Middle School</t>
  </si>
  <si>
    <t>Showell (Phillip C.) Elementary School</t>
  </si>
  <si>
    <t>Southern Delaware School of the Arts</t>
  </si>
  <si>
    <t>Sussex Central High School</t>
  </si>
  <si>
    <t>Sussex Central Middle</t>
  </si>
  <si>
    <t>Indian River School District</t>
  </si>
  <si>
    <t>Lake</t>
  </si>
  <si>
    <t>Chipman (W.T.) Middle School</t>
  </si>
  <si>
    <t>Delaware Early Childhood Center</t>
  </si>
  <si>
    <t>Lake Forest Central Elementary School</t>
  </si>
  <si>
    <t>Lake Forest East Elementary School</t>
  </si>
  <si>
    <t>Lake Forest High School</t>
  </si>
  <si>
    <t>Lake Forest North Elementary School</t>
  </si>
  <si>
    <t>Lake Forest South Elementary School</t>
  </si>
  <si>
    <t>Lake Forest School District</t>
  </si>
  <si>
    <t>Laurel</t>
  </si>
  <si>
    <t>Laurel Elementary School</t>
  </si>
  <si>
    <t>Laurel Middle School</t>
  </si>
  <si>
    <t>Laurel Senior High School</t>
  </si>
  <si>
    <t>North Laurel Early Learning Academy</t>
  </si>
  <si>
    <t>Laurel School District</t>
  </si>
  <si>
    <t>Milford</t>
  </si>
  <si>
    <t>Banneker (Benjamin) Elementary School</t>
  </si>
  <si>
    <t>Milford Central Academy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</si>
  <si>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</si>
  <si>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</si>
  <si>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</si>
  <si>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</si>
  <si>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</si>
  <si>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Milford School District</t>
  </si>
  <si>
    <t>NCCVT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</si>
  <si>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</si>
  <si>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</si>
  <si>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</si>
  <si>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</si>
  <si>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</si>
  <si>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</si>
  <si>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POLYTECH</t>
  </si>
  <si>
    <t>POLYTECH High School</t>
  </si>
  <si>
    <t>POLYTECH School District</t>
  </si>
  <si>
    <t>Red_Clay</t>
  </si>
  <si>
    <t>Baltz (Austin D.) Elementary School</t>
  </si>
  <si>
    <t>Brandywine Springs School</t>
  </si>
  <si>
    <t>Calloway (Cab) School of the Arts</t>
  </si>
  <si>
    <t>Conrad Schools of Science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</si>
  <si>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</si>
  <si>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</si>
  <si>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</si>
  <si>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</si>
  <si>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</si>
  <si>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Forest Oak Elementary School</t>
  </si>
  <si>
    <t>Heritage Elementary School</t>
  </si>
  <si>
    <t>Johnson (Joseph E. Jr) Elementary School</t>
  </si>
  <si>
    <t>Lewis (William C.) Dual Language Elementary School</t>
  </si>
  <si>
    <t>Linden Hill Elementary School</t>
  </si>
  <si>
    <t>Marbrook Elementary School</t>
  </si>
  <si>
    <t>McKean (Thomas) High School</t>
  </si>
  <si>
    <t>Meadowood Program</t>
  </si>
  <si>
    <t>Mote (Anna P.) Elementary School</t>
  </si>
  <si>
    <t>North Star Elementary School</t>
  </si>
  <si>
    <t>Red Clay Early Years Program</t>
  </si>
  <si>
    <t>Richardson Park Elementary School</t>
  </si>
  <si>
    <t>Richey Elementary School</t>
  </si>
  <si>
    <t>Shortlidge (Evan G.) Academy</t>
  </si>
  <si>
    <t>Skyline Middle School</t>
  </si>
  <si>
    <t>Stanton Middle School</t>
  </si>
  <si>
    <t>Warner Elementary School</t>
  </si>
  <si>
    <t>William F. Cooke Jr. Elementary</t>
  </si>
  <si>
    <t>Red Clay Consolidated School District</t>
  </si>
  <si>
    <t>Seaford</t>
  </si>
  <si>
    <t>Blades Elementary School</t>
  </si>
  <si>
    <t>Frederick Douglass Elementary School</t>
  </si>
  <si>
    <t>Seaford Autistic Program</t>
  </si>
  <si>
    <t>Seaford Central Elementary School</t>
  </si>
  <si>
    <t>Seaford Middle School</t>
  </si>
  <si>
    <t>Seaford Senior High School</t>
  </si>
  <si>
    <t>Sussex Orthopedic Program</t>
  </si>
  <si>
    <t>West Seaford Elementary School</t>
  </si>
  <si>
    <t>Seaford School District</t>
  </si>
  <si>
    <t>Smyrna</t>
  </si>
  <si>
    <t>Clayton Elementary School</t>
  </si>
  <si>
    <t>Clayton Intermediate School</t>
  </si>
  <si>
    <t>Moore (John Bassett) School</t>
  </si>
  <si>
    <t>North Smyrna Elementary School</t>
  </si>
  <si>
    <t>Smyrna Elementary School</t>
  </si>
  <si>
    <t>Smyrna High School</t>
  </si>
  <si>
    <t>Smyrna Middle School</t>
  </si>
  <si>
    <t>Sunnyside Elementary School</t>
  </si>
  <si>
    <t>Smyrna School District</t>
  </si>
  <si>
    <t>Sussex_Tech</t>
  </si>
  <si>
    <t xml:space="preserve">Sussex Tech High School </t>
  </si>
  <si>
    <t>Sussex Tech School District</t>
  </si>
  <si>
    <t>Woodbridge</t>
  </si>
  <si>
    <t>Phillis Wheatley Elementary School</t>
  </si>
  <si>
    <t>Woodbridge Early Childhood Education Center</t>
  </si>
  <si>
    <t>Woodbridge High School</t>
  </si>
  <si>
    <t>Woodbridge Middle School</t>
  </si>
  <si>
    <t>Woodbridge School District</t>
  </si>
  <si>
    <t>Academia_Antonia_Alonso_ Charter_School</t>
  </si>
  <si>
    <t>Academia Primary</t>
  </si>
  <si>
    <t>Academia Junior High</t>
  </si>
  <si>
    <t>Academy_of_Dover_Charter_School</t>
  </si>
  <si>
    <t>Academy of Dover Early Learning</t>
  </si>
  <si>
    <t>Academy of Dover Main</t>
  </si>
  <si>
    <t>Bryan_Allen_Stevenson_School_of_Excellence_Charter_School</t>
  </si>
  <si>
    <t>Campus_Community_School_Charter_School</t>
  </si>
  <si>
    <t>Campus Community Primary</t>
  </si>
  <si>
    <t xml:space="preserve">Campus Community Junior High </t>
  </si>
  <si>
    <t>Charter_School_of_New_Castle</t>
  </si>
  <si>
    <t>New Castle Primary</t>
  </si>
  <si>
    <t>New Castle Junior</t>
  </si>
  <si>
    <t>Charter_School_of_Wilmington</t>
  </si>
  <si>
    <t>Delaware_Military_Academy_Charter_School</t>
  </si>
  <si>
    <t>Early_College_High_School_at_Del_State_Charter_School</t>
  </si>
  <si>
    <t>East_Side_Charter_School</t>
  </si>
  <si>
    <t>East Side Primary</t>
  </si>
  <si>
    <t>East Side Junior</t>
  </si>
  <si>
    <t>Edison_Charter_School</t>
  </si>
  <si>
    <t>Edison Primary</t>
  </si>
  <si>
    <t>Edison Intermediate</t>
  </si>
  <si>
    <t>Edison Junior High</t>
  </si>
  <si>
    <t>First_State_Military_Academy_Charter_School</t>
  </si>
  <si>
    <t>First_State_Montessori_Academy_Charter_School</t>
  </si>
  <si>
    <t>First State Elementary</t>
  </si>
  <si>
    <t>First State Middle School</t>
  </si>
  <si>
    <t>Freire_Charter_School_of_Wilmington</t>
  </si>
  <si>
    <t>Gateway_Charter_School</t>
  </si>
  <si>
    <t>Gateway Primary</t>
  </si>
  <si>
    <t>Gateway Secondary</t>
  </si>
  <si>
    <t>Great_Oaks_Charter_School</t>
  </si>
  <si>
    <t>Kuumba_Academy_Charter_School</t>
  </si>
  <si>
    <t>Kuumba Primary</t>
  </si>
  <si>
    <t>Kuumba Junior High</t>
  </si>
  <si>
    <t>Las_Americas_Aspira_Academy_Charter_School</t>
  </si>
  <si>
    <t>Aspira Primary</t>
  </si>
  <si>
    <t>Aspira Junior High</t>
  </si>
  <si>
    <t>Aspira High School</t>
  </si>
  <si>
    <t>MOT_Charter_School</t>
  </si>
  <si>
    <t>MOT Elementary</t>
  </si>
  <si>
    <t xml:space="preserve">MOT Middle School </t>
  </si>
  <si>
    <t xml:space="preserve">MOT High School </t>
  </si>
  <si>
    <t>Newark_Charter_School</t>
  </si>
  <si>
    <t>Newark Elementary</t>
  </si>
  <si>
    <t>Newark Intermediate</t>
  </si>
  <si>
    <t xml:space="preserve">Newark Middle School </t>
  </si>
  <si>
    <t xml:space="preserve">Newark High School </t>
  </si>
  <si>
    <t>Odyssey_Charter_School</t>
  </si>
  <si>
    <t>Odyssey Primary</t>
  </si>
  <si>
    <t>Odyssey Intermediate</t>
  </si>
  <si>
    <t>Odyssey Middle School</t>
  </si>
  <si>
    <t>Odyssey High School</t>
  </si>
  <si>
    <t>Positive_Outcomes_Charter_School</t>
  </si>
  <si>
    <t xml:space="preserve">Positive Middle School </t>
  </si>
  <si>
    <t xml:space="preserve">Postive High School </t>
  </si>
  <si>
    <t>Providence_Creek_Academy_Charter_School</t>
  </si>
  <si>
    <t>Providence Primary</t>
  </si>
  <si>
    <t>Providence Junior High</t>
  </si>
  <si>
    <t>Sussex_Academy_Charter_School</t>
  </si>
  <si>
    <t>SAS Primary</t>
  </si>
  <si>
    <t xml:space="preserve">SAS Junior High </t>
  </si>
  <si>
    <t>SAS High School</t>
  </si>
  <si>
    <t>Sussex_Montessori_School_Charter_School</t>
  </si>
  <si>
    <t>CHECK:</t>
  </si>
  <si>
    <t>Sum of all rows (Schools + Central Office)</t>
  </si>
  <si>
    <t>Calculator when C1=Statewide</t>
  </si>
  <si>
    <t>DIFF = Statewide - SumAll</t>
  </si>
  <si>
    <t>Districts with missing header in 'School list for drop-down'</t>
  </si>
  <si>
    <t>(none)</t>
  </si>
  <si>
    <t>Duplicate child names (appear under multiple districts)</t>
  </si>
  <si>
    <t>District/Charter</t>
  </si>
  <si>
    <t>School/District</t>
  </si>
  <si>
    <t>Total Units</t>
  </si>
  <si>
    <t>Admin Support Professionals</t>
  </si>
  <si>
    <t>Food Service Supervisor</t>
  </si>
  <si>
    <t>Recon Row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</si>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</sst>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3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0" fontId="6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2" xfId="0" applyFont="1" applyBorder="1"/>
    <xf numFmtId="0" fontId="0" fillId="0" borderId="12" xfId="0" applyBorder="1"/>
    <xf numFmtId="44" fontId="0" fillId="0" borderId="12" xfId="2" applyFont="1" applyBorder="1"/>
    <xf numFmtId="44" fontId="2" fillId="0" borderId="12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8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2" xfId="2" applyNumberFormat="1" applyFont="1" applyBorder="1"/>
    <xf numFmtId="43" fontId="2" fillId="0" borderId="12" xfId="0" applyNumberFormat="1" applyFont="1" applyBorder="1"/>
    <xf numFmtId="43" fontId="0" fillId="0" borderId="12" xfId="0" applyNumberFormat="1" applyBorder="1"/>
    <xf numFmtId="168" fontId="6" fillId="7" borderId="12" xfId="0" applyNumberFormat="1" applyFont="1" applyFill="1" applyBorder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37" fontId="6" fillId="0" borderId="12" xfId="0" applyNumberFormat="1" applyFont="1" applyBorder="1" applyAlignment="1">
      <alignment horizontal="center" vertical="center"/>
    </xf>
    <xf numFmtId="166" fontId="6" fillId="7" borderId="12" xfId="0" applyNumberFormat="1" applyFont="1" applyFill="1" applyBorder="1" applyAlignment="1">
      <alignment horizont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8"/>
  <sheetViews>
    <sheetView zoomScale="130" zoomScaleNormal="130" workbookViewId="0">
      <selection activeCell="C18" sqref="C18"/>
    </sheetView>
  </sheetViews>
  <sheetFormatPr baseColWidth="10" defaultColWidth="11.5" defaultRowHeight="15" x14ac:dyDescent="0.2"/>
  <cols>
    <col min="1" max="1" width="51.33203125" customWidth="1"/>
    <col min="2" max="4" width="25.83203125" customWidth="1"/>
  </cols>
  <sheetData>
    <row r="1" spans="1:4" ht="19" x14ac:dyDescent="0.25">
      <c r="A1" s="155" t="s">
        <v>0</v>
      </c>
      <c r="B1" s="155"/>
      <c r="C1" s="155"/>
      <c r="D1" s="155"/>
    </row>
    <row r="2" spans="1:4" x14ac:dyDescent="0.2">
      <c r="B2" s="3" t="s">
        <v>1</v>
      </c>
      <c r="C2" s="6"/>
      <c r="D2" s="6"/>
    </row>
    <row r="3" spans="1:4" ht="16" x14ac:dyDescent="0.2">
      <c r="A3" s="8" t="s">
        <v>2</v>
      </c>
      <c r="B3" s="107">
        <f>163000000</f>
        <v>163000000</v>
      </c>
      <c r="C3" s="9"/>
      <c r="D3" s="9"/>
    </row>
    <row r="4" spans="1:4" ht="16" x14ac:dyDescent="0.2">
      <c r="A4" s="8" t="s">
        <v>3</v>
      </c>
      <c r="B4" s="107">
        <f>279026800</f>
        <v>279026800</v>
      </c>
      <c r="C4" s="9"/>
      <c r="D4" s="9"/>
    </row>
    <row r="5" spans="1:4" ht="16" x14ac:dyDescent="0.2">
      <c r="A5" s="10" t="s">
        <v>4</v>
      </c>
      <c r="B5" s="108">
        <f>Calculator!H1</f>
        <v>0</v>
      </c>
      <c r="C5" s="9"/>
      <c r="D5" s="9"/>
    </row>
    <row r="6" spans="1:4" ht="16" x14ac:dyDescent="0.2">
      <c r="A6" s="11"/>
      <c r="B6" s="11"/>
      <c r="C6" s="11"/>
      <c r="D6" s="11"/>
    </row>
    <row r="7" spans="1:4" ht="16" x14ac:dyDescent="0.2">
      <c r="A7" s="11" t="s">
        <v>2</v>
      </c>
      <c r="B7" s="10" t="s">
        <v>5</v>
      </c>
      <c r="C7" s="10" t="s">
        <v>6</v>
      </c>
      <c r="D7" s="10" t="s">
        <v>7</v>
      </c>
    </row>
    <row r="8" spans="1:4" ht="16" x14ac:dyDescent="0.2">
      <c r="A8" s="12" t="s">
        <v>8</v>
      </c>
      <c r="B8" s="109">
        <f>SUM(Data!L296)</f>
        <v>36749</v>
      </c>
      <c r="C8" s="110">
        <v>0.67500000000000004</v>
      </c>
      <c r="D8" s="111">
        <f>SUM(B8*C8)</f>
        <v>24805.575000000001</v>
      </c>
    </row>
    <row r="9" spans="1:4" ht="16" x14ac:dyDescent="0.2">
      <c r="A9" s="12" t="s">
        <v>9</v>
      </c>
      <c r="B9" s="112">
        <f>SUM(Data!M296)</f>
        <v>17242</v>
      </c>
      <c r="C9" s="110">
        <v>0.47</v>
      </c>
      <c r="D9" s="111">
        <f>SUM(B9*C9)</f>
        <v>8103.74</v>
      </c>
    </row>
    <row r="10" spans="1:4" ht="16" x14ac:dyDescent="0.2">
      <c r="A10" s="9"/>
      <c r="B10" s="9"/>
      <c r="C10" s="9"/>
      <c r="D10" s="13"/>
    </row>
    <row r="11" spans="1:4" ht="16" x14ac:dyDescent="0.2">
      <c r="A11" s="14" t="s">
        <v>10</v>
      </c>
      <c r="B11" s="113"/>
      <c r="C11" s="113"/>
      <c r="D11" s="114">
        <f>SUM(D8:D9)</f>
        <v>32909.315000000002</v>
      </c>
    </row>
    <row r="12" spans="1:4" ht="16" x14ac:dyDescent="0.2">
      <c r="A12" s="8" t="s">
        <v>11</v>
      </c>
      <c r="B12" s="113"/>
      <c r="C12" s="113"/>
      <c r="D12" s="115">
        <f>SUM(B3+(B5*0.5))</f>
        <v>163000000</v>
      </c>
    </row>
    <row r="13" spans="1:4" ht="16" x14ac:dyDescent="0.2">
      <c r="A13" s="8" t="s">
        <v>12</v>
      </c>
      <c r="B13" s="113"/>
      <c r="C13" s="113"/>
      <c r="D13" s="115">
        <f>SUM(D12/D11)</f>
        <v>4953.004947079573</v>
      </c>
    </row>
    <row r="14" spans="1:4" ht="16" x14ac:dyDescent="0.2">
      <c r="A14" s="8"/>
      <c r="B14" s="11"/>
      <c r="C14" s="11"/>
      <c r="D14" s="11"/>
    </row>
    <row r="15" spans="1:4" ht="16" x14ac:dyDescent="0.2">
      <c r="A15" s="11" t="s">
        <v>3</v>
      </c>
      <c r="B15" s="11"/>
      <c r="C15" s="11"/>
      <c r="D15" s="11"/>
    </row>
    <row r="16" spans="1:4" ht="16" x14ac:dyDescent="0.2">
      <c r="A16" s="12" t="s">
        <v>5</v>
      </c>
      <c r="B16" s="112">
        <f>SUM(Data!H296)</f>
        <v>141314</v>
      </c>
      <c r="C16" s="116">
        <v>0.2</v>
      </c>
      <c r="D16" s="117">
        <f t="shared" ref="D16:D22" si="0">SUM(B16*C16)</f>
        <v>28262.800000000003</v>
      </c>
    </row>
    <row r="17" spans="1:4" ht="16" x14ac:dyDescent="0.2">
      <c r="A17" s="12" t="s">
        <v>8</v>
      </c>
      <c r="B17" s="112">
        <f>SUM(B8)</f>
        <v>36749</v>
      </c>
      <c r="C17" s="116">
        <v>0.67500000000000004</v>
      </c>
      <c r="D17" s="117">
        <f t="shared" si="0"/>
        <v>24805.575000000001</v>
      </c>
    </row>
    <row r="18" spans="1:4" ht="16" x14ac:dyDescent="0.2">
      <c r="A18" s="12" t="s">
        <v>9</v>
      </c>
      <c r="B18" s="112">
        <f>SUM(B9)</f>
        <v>17242</v>
      </c>
      <c r="C18" s="116">
        <v>0.47</v>
      </c>
      <c r="D18" s="117">
        <f t="shared" si="0"/>
        <v>8103.74</v>
      </c>
    </row>
    <row r="19" spans="1:4" ht="16" x14ac:dyDescent="0.2">
      <c r="A19" s="12" t="s">
        <v>13</v>
      </c>
      <c r="B19" s="112">
        <f>SUM(Data!E296)</f>
        <v>13944</v>
      </c>
      <c r="C19" s="116">
        <v>0.48</v>
      </c>
      <c r="D19" s="117">
        <f t="shared" si="0"/>
        <v>6693.12</v>
      </c>
    </row>
    <row r="20" spans="1:4" ht="16" x14ac:dyDescent="0.2">
      <c r="A20" s="12" t="s">
        <v>14</v>
      </c>
      <c r="B20" s="112">
        <f>SUM(Data!F296)</f>
        <v>6933</v>
      </c>
      <c r="C20" s="116">
        <v>0.67</v>
      </c>
      <c r="D20" s="117">
        <f t="shared" si="0"/>
        <v>4645.1100000000006</v>
      </c>
    </row>
    <row r="21" spans="1:4" ht="16" x14ac:dyDescent="0.2">
      <c r="A21" s="12" t="s">
        <v>15</v>
      </c>
      <c r="B21" s="112">
        <f>SUM(Data!G296)</f>
        <v>6381</v>
      </c>
      <c r="C21" s="116">
        <v>1.54</v>
      </c>
      <c r="D21" s="117">
        <f t="shared" si="0"/>
        <v>9826.74</v>
      </c>
    </row>
    <row r="22" spans="1:4" ht="16" x14ac:dyDescent="0.2">
      <c r="A22" s="12" t="s">
        <v>16</v>
      </c>
      <c r="B22" s="112">
        <f>Data!N296</f>
        <v>18249</v>
      </c>
      <c r="C22" s="116">
        <v>0.2</v>
      </c>
      <c r="D22" s="117">
        <f t="shared" si="0"/>
        <v>3649.8</v>
      </c>
    </row>
    <row r="23" spans="1:4" ht="16" x14ac:dyDescent="0.2">
      <c r="A23" s="15" t="s">
        <v>10</v>
      </c>
      <c r="B23" s="113"/>
      <c r="C23" s="113"/>
      <c r="D23" s="111">
        <f>SUM(D16:D22)</f>
        <v>85986.885000000009</v>
      </c>
    </row>
    <row r="24" spans="1:4" ht="16" x14ac:dyDescent="0.2">
      <c r="A24" s="8" t="s">
        <v>11</v>
      </c>
      <c r="B24" s="113"/>
      <c r="C24" s="113"/>
      <c r="D24" s="118">
        <f>SUM(B4+(0.5*B5))</f>
        <v>279026800</v>
      </c>
    </row>
    <row r="25" spans="1:4" ht="16" x14ac:dyDescent="0.2">
      <c r="A25" s="8" t="s">
        <v>12</v>
      </c>
      <c r="B25" s="113"/>
      <c r="C25" s="113"/>
      <c r="D25" s="115">
        <f>SUM(D24/D23)</f>
        <v>3244.9925357803108</v>
      </c>
    </row>
    <row r="28" spans="1:4" x14ac:dyDescent="0.2">
      <c r="A28" t="s">
        <v>17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topLeftCell="A33" workbookViewId="0">
      <selection activeCell="F35" sqref="F35"/>
    </sheetView>
  </sheetViews>
  <sheetFormatPr baseColWidth="10" defaultColWidth="9.33203125" defaultRowHeight="15" x14ac:dyDescent="0.2"/>
  <cols>
    <col min="1" max="1" width="42.6640625" style="23" bestFit="1" customWidth="1"/>
    <col min="2" max="2" width="11" style="23" bestFit="1" customWidth="1"/>
    <col min="3" max="3" width="9.33203125" style="23"/>
    <col min="4" max="4" width="11.5" style="23" bestFit="1" customWidth="1"/>
    <col min="5" max="5" width="12.6640625" style="23" bestFit="1" customWidth="1"/>
    <col min="6" max="6" width="19" style="23" bestFit="1" customWidth="1"/>
    <col min="7" max="7" width="22.5" style="23" customWidth="1"/>
    <col min="8" max="17" width="9.33203125" style="23"/>
    <col min="18" max="18" width="10.83203125" style="23" customWidth="1"/>
    <col min="19" max="24" width="9.33203125" style="23"/>
    <col min="25" max="25" width="9.5" style="23" bestFit="1" customWidth="1"/>
    <col min="26" max="16384" width="9.33203125" style="23"/>
  </cols>
  <sheetData>
    <row r="1" spans="1:25" ht="16" thickBot="1" x14ac:dyDescent="0.25">
      <c r="A1" s="124" t="s">
        <v>18</v>
      </c>
      <c r="B1" s="126"/>
      <c r="C1" s="132" t="s">
        <v>19</v>
      </c>
      <c r="D1" s="133"/>
      <c r="E1" s="133"/>
      <c r="F1" s="134"/>
      <c r="G1" s="24" t="s">
        <v>20</v>
      </c>
      <c r="H1" s="22">
        <v>0</v>
      </c>
      <c r="I1" s="143"/>
      <c r="J1" s="144"/>
      <c r="K1" s="144"/>
      <c r="L1" s="144"/>
      <c r="M1" s="144"/>
      <c r="N1" s="144"/>
      <c r="O1" s="144"/>
      <c r="P1" s="144"/>
      <c r="Q1" s="144"/>
      <c r="R1" s="145"/>
      <c r="Y1" s="25"/>
    </row>
    <row r="2" spans="1:25" ht="16" thickBot="1" x14ac:dyDescent="0.25">
      <c r="A2" s="130" t="s">
        <v>21</v>
      </c>
      <c r="B2" s="131"/>
      <c r="C2" s="132" t="s">
        <v>19</v>
      </c>
      <c r="D2" s="133"/>
      <c r="E2" s="133"/>
      <c r="F2" s="134"/>
      <c r="G2" s="149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1"/>
      <c r="S2" s="23" t="s">
        <v>22</v>
      </c>
    </row>
    <row r="3" spans="1:25" ht="16" thickBot="1" x14ac:dyDescent="0.25">
      <c r="A3" s="119" t="s">
        <v>23</v>
      </c>
      <c r="B3" s="120"/>
      <c r="C3" s="120"/>
      <c r="D3" s="120"/>
      <c r="E3" s="120"/>
      <c r="F3" s="121"/>
      <c r="G3" s="149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1"/>
      <c r="S3" s="23" t="s">
        <v>24</v>
      </c>
    </row>
    <row r="4" spans="1:25" ht="16" thickBot="1" x14ac:dyDescent="0.25">
      <c r="A4" s="26" t="s">
        <v>25</v>
      </c>
      <c r="B4" s="26" t="s">
        <v>5</v>
      </c>
      <c r="C4" s="26" t="s">
        <v>26</v>
      </c>
      <c r="D4" s="26" t="s">
        <v>27</v>
      </c>
      <c r="E4" s="26" t="s">
        <v>28</v>
      </c>
      <c r="F4" s="26" t="s">
        <v>29</v>
      </c>
      <c r="G4" s="149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1"/>
      <c r="S4" s="23" t="s">
        <v>30</v>
      </c>
    </row>
    <row r="5" spans="1:25" ht="16" thickBot="1" x14ac:dyDescent="0.25">
      <c r="A5" s="27" t="s">
        <v>31</v>
      </c>
      <c r="B5" s="28"/>
      <c r="C5" s="28"/>
      <c r="D5" s="29"/>
      <c r="E5" s="30"/>
      <c r="F5" s="31"/>
      <c r="G5" s="119" t="s">
        <v>32</v>
      </c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1"/>
      <c r="S5" s="23" t="s">
        <v>33</v>
      </c>
    </row>
    <row r="6" spans="1:25" x14ac:dyDescent="0.2">
      <c r="A6" s="89" t="s">
        <v>34</v>
      </c>
      <c r="B6" s="32" cm="1">
        <f t="array" ref="B6">IFERROR(INDEX(Data!$C:$G,MATCH(1,(Data!$A:$A=$C$1)*(Data!$B:$B=$C$2),0),MATCH($A6,Data!$C$1:$G$1,0)),"")</f>
        <v>34035</v>
      </c>
      <c r="C6" s="33">
        <v>16.2</v>
      </c>
      <c r="D6" s="34">
        <f>ROUND((B6/C6),2)</f>
        <v>2100.9299999999998</v>
      </c>
      <c r="E6" s="35">
        <v>96155</v>
      </c>
      <c r="F6" s="36">
        <f t="shared" ref="F6:F15" si="0">E6*D6</f>
        <v>202014924.14999998</v>
      </c>
      <c r="G6" s="140" t="s">
        <v>35</v>
      </c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2"/>
    </row>
    <row r="7" spans="1:25" x14ac:dyDescent="0.2">
      <c r="A7" s="89" t="s">
        <v>36</v>
      </c>
      <c r="B7" s="32" cm="1">
        <f t="array" ref="B7">IFERROR(INDEX(Data!$C:$G,MATCH(1,(Data!$A:$A=$C$1)*(Data!$B:$B=$C$2),0),MATCH($A7,Data!$C$1:$G$1,0)),"")</f>
        <v>80021</v>
      </c>
      <c r="C7" s="33">
        <v>20</v>
      </c>
      <c r="D7" s="34">
        <f t="shared" ref="D7:D10" si="1">ROUND((B7/C7),2)</f>
        <v>4001.05</v>
      </c>
      <c r="E7" s="35">
        <v>96155</v>
      </c>
      <c r="F7" s="36">
        <f t="shared" si="0"/>
        <v>384720962.75</v>
      </c>
      <c r="G7" s="140" t="s">
        <v>37</v>
      </c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2"/>
    </row>
    <row r="8" spans="1:25" x14ac:dyDescent="0.2">
      <c r="A8" s="89" t="s">
        <v>13</v>
      </c>
      <c r="B8" s="32" cm="1">
        <f t="array" ref="B8">IFERROR(INDEX(Data!$C:$G,MATCH(1,(Data!$A:$A=$C$1)*(Data!$B:$B=$C$2),0),MATCH($A8,Data!$C$1:$G$1,0)),"")</f>
        <v>13944</v>
      </c>
      <c r="C8" s="33">
        <v>8.4</v>
      </c>
      <c r="D8" s="34">
        <f t="shared" si="1"/>
        <v>1660</v>
      </c>
      <c r="E8" s="35">
        <v>96155</v>
      </c>
      <c r="F8" s="36">
        <f t="shared" si="0"/>
        <v>159617300</v>
      </c>
      <c r="G8" s="140" t="s">
        <v>38</v>
      </c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2"/>
    </row>
    <row r="9" spans="1:25" x14ac:dyDescent="0.2">
      <c r="A9" s="89" t="s">
        <v>14</v>
      </c>
      <c r="B9" s="32" cm="1">
        <f t="array" ref="B9">IFERROR(INDEX(Data!$C:$G,MATCH(1,(Data!$A:$A=$C$1)*(Data!$B:$B=$C$2),0),MATCH($A9,Data!$C$1:$G$1,0)),"")</f>
        <v>6933</v>
      </c>
      <c r="C9" s="33">
        <v>6</v>
      </c>
      <c r="D9" s="34">
        <f t="shared" si="1"/>
        <v>1155.5</v>
      </c>
      <c r="E9" s="35">
        <v>96155</v>
      </c>
      <c r="F9" s="36">
        <f t="shared" si="0"/>
        <v>111107102.5</v>
      </c>
      <c r="G9" s="140" t="s">
        <v>39</v>
      </c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2"/>
    </row>
    <row r="10" spans="1:25" x14ac:dyDescent="0.2">
      <c r="A10" s="89" t="s">
        <v>15</v>
      </c>
      <c r="B10" s="32" cm="1">
        <f t="array" ref="B10">IFERROR(INDEX(Data!$C:$G,MATCH(1,(Data!$A:$A=$C$1)*(Data!$B:$B=$C$2),0),MATCH($A10,Data!$C$1:$G$1,0)),"")</f>
        <v>6381</v>
      </c>
      <c r="C10" s="33">
        <v>2.6</v>
      </c>
      <c r="D10" s="34">
        <f t="shared" si="1"/>
        <v>2454.23</v>
      </c>
      <c r="E10" s="35">
        <v>96155</v>
      </c>
      <c r="F10" s="36">
        <f t="shared" si="0"/>
        <v>235986485.65000001</v>
      </c>
      <c r="G10" s="140" t="s">
        <v>40</v>
      </c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2"/>
    </row>
    <row r="11" spans="1:25" ht="15" customHeight="1" x14ac:dyDescent="0.2">
      <c r="A11" s="89" t="s">
        <v>41</v>
      </c>
      <c r="B11" s="32"/>
      <c r="C11" s="33"/>
      <c r="D11" s="37" cm="1">
        <f t="array" ref="D11">IFERROR(INDEX(Data!$C:$ZS,MATCH(1,(Data!$A:$A=$C$1)*(Data!$B:$B=$C$2),0),MATCH($A11,Data!$C$1:$ZS$1,0)),"")</f>
        <v>-419.68</v>
      </c>
      <c r="E11" s="35">
        <v>96155</v>
      </c>
      <c r="F11" s="36">
        <f t="shared" si="0"/>
        <v>-40354330.399999999</v>
      </c>
      <c r="G11" s="137" t="s">
        <v>42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">
      <c r="A12" s="89" t="s">
        <v>43</v>
      </c>
      <c r="B12" s="32"/>
      <c r="C12" s="33"/>
      <c r="D12" s="37" cm="1">
        <f t="array" ref="D12">IFERROR(INDEX(Data!$C:$ZS,MATCH(1,(Data!$A:$A=$C$1)*(Data!$B:$B=$C$2),0),MATCH($A12,Data!$C$1:$ZS$1,0)),"")</f>
        <v>839.2</v>
      </c>
      <c r="E12" s="35">
        <v>96155</v>
      </c>
      <c r="F12" s="36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">
      <c r="A13" s="90" t="s">
        <v>44</v>
      </c>
      <c r="B13" s="32"/>
      <c r="C13" s="33"/>
      <c r="D13" s="77" cm="1">
        <f t="array" ref="D13">INDEX(Data!$O:$O, MATCH(1, (Data!$A:$A=$C$1)*(Data!$B:$B=$C$2), 0))</f>
        <v>249</v>
      </c>
      <c r="E13" s="36">
        <v>153065</v>
      </c>
      <c r="F13" s="36">
        <f t="shared" si="0"/>
        <v>38113185</v>
      </c>
      <c r="G13" s="140" t="s">
        <v>45</v>
      </c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2"/>
    </row>
    <row r="14" spans="1:25" ht="44.25" customHeight="1" x14ac:dyDescent="0.2">
      <c r="A14" s="91" t="s">
        <v>46</v>
      </c>
      <c r="B14" s="72"/>
      <c r="C14" s="73"/>
      <c r="D14" s="77" cm="1">
        <f t="array" ref="D14">INDEX(Data!$P:$P, MATCH(1, (Data!$A:$A=$C$1)*(Data!$B:$B=$C$2), 0))</f>
        <v>477</v>
      </c>
      <c r="E14" s="74">
        <v>134266</v>
      </c>
      <c r="F14" s="74">
        <f t="shared" si="0"/>
        <v>64044882</v>
      </c>
      <c r="G14" s="137" t="s">
        <v>47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25"/>
    </row>
    <row r="15" spans="1:25" x14ac:dyDescent="0.2">
      <c r="A15" s="90" t="s">
        <v>48</v>
      </c>
      <c r="B15" s="32"/>
      <c r="C15" s="33"/>
      <c r="D15" s="77" cm="1">
        <f t="array" ref="D15">INDEX(Data!$R:$R, MATCH(1, (Data!$A:$A=$C$1)*(Data!$B:$B=$C$2), 0))</f>
        <v>1294</v>
      </c>
      <c r="E15" s="36">
        <v>74017</v>
      </c>
      <c r="F15" s="36">
        <f t="shared" si="0"/>
        <v>95777998</v>
      </c>
      <c r="G15" s="140" t="s">
        <v>49</v>
      </c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2"/>
    </row>
    <row r="16" spans="1:25" ht="16" thickBot="1" x14ac:dyDescent="0.25">
      <c r="A16" s="89" t="s">
        <v>50</v>
      </c>
      <c r="B16" s="38"/>
      <c r="C16" s="39"/>
      <c r="D16" s="77" cm="1">
        <f t="array" ref="D16">INDEX(Data!$Q:$Q, MATCH(1, (Data!$A:$A=$C$1)*(Data!$B:$B=$C$2), 0))</f>
        <v>2354.7340000000004</v>
      </c>
      <c r="E16" s="36">
        <v>96155</v>
      </c>
      <c r="F16" s="36">
        <f>E16*D16</f>
        <v>226419447.77000004</v>
      </c>
      <c r="G16" s="140" t="s">
        <v>51</v>
      </c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2"/>
    </row>
    <row r="17" spans="1:19" ht="16" thickBot="1" x14ac:dyDescent="0.25">
      <c r="A17" s="40" t="s">
        <v>52</v>
      </c>
      <c r="B17" s="41">
        <f>SUM(B6:B10)</f>
        <v>141314</v>
      </c>
      <c r="C17" s="42"/>
      <c r="D17" s="43">
        <f>SUM(D6:D16)</f>
        <v>16165.964</v>
      </c>
      <c r="E17" s="44"/>
      <c r="F17" s="45">
        <f>SUM(F6:F16)</f>
        <v>1558141233.4200001</v>
      </c>
      <c r="G17" s="143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5"/>
    </row>
    <row r="18" spans="1:19" ht="16" thickBot="1" x14ac:dyDescent="0.25">
      <c r="A18" s="119" t="s">
        <v>53</v>
      </c>
      <c r="B18" s="120"/>
      <c r="C18" s="120"/>
      <c r="D18" s="120"/>
      <c r="E18" s="120"/>
      <c r="F18" s="121"/>
      <c r="G18" s="149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1"/>
    </row>
    <row r="19" spans="1:19" ht="16" thickBot="1" x14ac:dyDescent="0.25">
      <c r="A19" s="46" t="s">
        <v>25</v>
      </c>
      <c r="B19" s="26" t="s">
        <v>5</v>
      </c>
      <c r="C19" s="26" t="s">
        <v>26</v>
      </c>
      <c r="D19" s="47"/>
      <c r="E19" s="48" t="s">
        <v>28</v>
      </c>
      <c r="F19" s="26" t="s">
        <v>29</v>
      </c>
      <c r="G19" s="146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8"/>
    </row>
    <row r="20" spans="1:19" x14ac:dyDescent="0.2">
      <c r="A20" s="49" t="s">
        <v>8</v>
      </c>
      <c r="B20" s="32" cm="1">
        <f t="array" ref="B20">IFERROR(INDEX(Data!$C:$ZS,MATCH(1,(Data!$A:$A=$C$1)*(Data!$B:$B=$C$2),0),MATCH($A20, Data!$C$1:$ZS$1,0)),"")</f>
        <v>36749</v>
      </c>
      <c r="C20" s="50">
        <f>SUM('State Totals'!C8)</f>
        <v>0.67500000000000004</v>
      </c>
      <c r="D20" s="51"/>
      <c r="E20" s="52">
        <f>SUM('State Totals'!D13)</f>
        <v>4953.004947079573</v>
      </c>
      <c r="F20" s="36">
        <f>(B20*C20)*E20</f>
        <v>122862135.69015338</v>
      </c>
      <c r="G20" s="140" t="s">
        <v>54</v>
      </c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2"/>
      <c r="S20" s="53"/>
    </row>
    <row r="21" spans="1:19" ht="16" thickBot="1" x14ac:dyDescent="0.25">
      <c r="A21" s="49" t="s">
        <v>9</v>
      </c>
      <c r="B21" s="32" cm="1">
        <f t="array" ref="B21">IFERROR(INDEX(Data!$C:$ZS,MATCH(1,(Data!$A:$A=$C$1)*(Data!$B:$B=$C$2),0),MATCH($A21, Data!$C$1:$ZS$1,0)),"")</f>
        <v>17242</v>
      </c>
      <c r="C21" s="50">
        <f>SUM('State Totals'!C9)</f>
        <v>0.47</v>
      </c>
      <c r="D21" s="54"/>
      <c r="E21" s="52">
        <f>SUM('State Totals'!D13)</f>
        <v>4953.004947079573</v>
      </c>
      <c r="F21" s="36">
        <f>(B21*C21)*E21</f>
        <v>40137864.309846617</v>
      </c>
      <c r="G21" s="140" t="s">
        <v>55</v>
      </c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2"/>
    </row>
    <row r="22" spans="1:19" ht="16" thickBot="1" x14ac:dyDescent="0.25">
      <c r="A22" s="40" t="s">
        <v>56</v>
      </c>
      <c r="B22" s="41">
        <f>SUM(B20:B21)</f>
        <v>53991</v>
      </c>
      <c r="C22" s="55"/>
      <c r="D22" s="56"/>
      <c r="E22" s="57"/>
      <c r="F22" s="45">
        <f>SUM(F20:F21)</f>
        <v>163000000</v>
      </c>
      <c r="G22" s="143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5"/>
    </row>
    <row r="23" spans="1:19" ht="16" thickBot="1" x14ac:dyDescent="0.25">
      <c r="A23" s="119" t="s">
        <v>57</v>
      </c>
      <c r="B23" s="120"/>
      <c r="C23" s="120"/>
      <c r="D23" s="120"/>
      <c r="E23" s="120"/>
      <c r="F23" s="121"/>
      <c r="G23" s="149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1"/>
    </row>
    <row r="24" spans="1:19" ht="16" thickBot="1" x14ac:dyDescent="0.25">
      <c r="A24" s="26" t="s">
        <v>25</v>
      </c>
      <c r="B24" s="26" t="s">
        <v>5</v>
      </c>
      <c r="C24" s="46" t="s">
        <v>26</v>
      </c>
      <c r="D24" s="127"/>
      <c r="E24" s="58" t="s">
        <v>28</v>
      </c>
      <c r="F24" s="26" t="s">
        <v>29</v>
      </c>
      <c r="G24" s="146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8"/>
    </row>
    <row r="25" spans="1:19" x14ac:dyDescent="0.2">
      <c r="A25" s="92" t="s">
        <v>5</v>
      </c>
      <c r="B25" s="59">
        <f>B17</f>
        <v>141314</v>
      </c>
      <c r="C25" s="60">
        <f>SUM('State Totals'!C16)</f>
        <v>0.2</v>
      </c>
      <c r="D25" s="128"/>
      <c r="E25" s="61">
        <f>SUM('State Totals'!D25)</f>
        <v>3244.9925357803108</v>
      </c>
      <c r="F25" s="36">
        <f t="shared" ref="F25:F31" si="2">(B25*C25)*E25</f>
        <v>91712575.040251777</v>
      </c>
      <c r="G25" s="140" t="s">
        <v>58</v>
      </c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2"/>
      <c r="S25" s="75"/>
    </row>
    <row r="26" spans="1:19" x14ac:dyDescent="0.2">
      <c r="A26" s="90" t="s">
        <v>8</v>
      </c>
      <c r="B26" s="32">
        <f>B20</f>
        <v>36749</v>
      </c>
      <c r="C26" s="62">
        <f>SUM('State Totals'!C17)</f>
        <v>0.67500000000000004</v>
      </c>
      <c r="D26" s="128"/>
      <c r="E26" s="35">
        <f>SUM('State Totals'!$D$25)</f>
        <v>3244.9925357803108</v>
      </c>
      <c r="F26" s="36">
        <f t="shared" si="2"/>
        <v>80493905.720738679</v>
      </c>
      <c r="G26" s="140" t="s">
        <v>54</v>
      </c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2"/>
    </row>
    <row r="27" spans="1:19" x14ac:dyDescent="0.2">
      <c r="A27" s="90" t="s">
        <v>9</v>
      </c>
      <c r="B27" s="32">
        <f>B21</f>
        <v>17242</v>
      </c>
      <c r="C27" s="62">
        <f>SUM('State Totals'!C18)</f>
        <v>0.47</v>
      </c>
      <c r="D27" s="128"/>
      <c r="E27" s="35">
        <f>SUM('State Totals'!$D$25)</f>
        <v>3244.9925357803108</v>
      </c>
      <c r="F27" s="36">
        <f t="shared" si="2"/>
        <v>26296575.811904337</v>
      </c>
      <c r="G27" s="140" t="s">
        <v>55</v>
      </c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2"/>
    </row>
    <row r="28" spans="1:19" x14ac:dyDescent="0.2">
      <c r="A28" s="90" t="s">
        <v>13</v>
      </c>
      <c r="B28" s="32">
        <f>B8</f>
        <v>13944</v>
      </c>
      <c r="C28" s="62">
        <f>SUM('State Totals'!C19)</f>
        <v>0.48</v>
      </c>
      <c r="D28" s="128"/>
      <c r="E28" s="35">
        <f>SUM('State Totals'!$D$25)</f>
        <v>3244.9925357803108</v>
      </c>
      <c r="F28" s="36">
        <f t="shared" si="2"/>
        <v>21719124.441081915</v>
      </c>
      <c r="G28" s="140" t="s">
        <v>59</v>
      </c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2"/>
    </row>
    <row r="29" spans="1:19" x14ac:dyDescent="0.2">
      <c r="A29" s="90" t="s">
        <v>14</v>
      </c>
      <c r="B29" s="32">
        <f>B9</f>
        <v>6933</v>
      </c>
      <c r="C29" s="62">
        <f>SUM('State Totals'!C20)</f>
        <v>0.67</v>
      </c>
      <c r="D29" s="128"/>
      <c r="E29" s="35">
        <f>SUM('State Totals'!$D$25)</f>
        <v>3244.9925357803108</v>
      </c>
      <c r="F29" s="36">
        <f t="shared" si="2"/>
        <v>15073347.277878482</v>
      </c>
      <c r="G29" s="140" t="s">
        <v>60</v>
      </c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2"/>
    </row>
    <row r="30" spans="1:19" x14ac:dyDescent="0.2">
      <c r="A30" s="90" t="s">
        <v>15</v>
      </c>
      <c r="B30" s="32">
        <f>B10</f>
        <v>6381</v>
      </c>
      <c r="C30" s="62">
        <f>SUM('State Totals'!C21)</f>
        <v>1.54</v>
      </c>
      <c r="D30" s="128"/>
      <c r="E30" s="35">
        <f>SUM('State Totals'!$D$25)</f>
        <v>3244.9925357803108</v>
      </c>
      <c r="F30" s="36">
        <f t="shared" si="2"/>
        <v>31887697.951053809</v>
      </c>
      <c r="G30" s="140" t="s">
        <v>61</v>
      </c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2"/>
    </row>
    <row r="31" spans="1:19" ht="16" thickBot="1" x14ac:dyDescent="0.25">
      <c r="A31" s="93" t="s">
        <v>16</v>
      </c>
      <c r="B31" s="32" cm="1">
        <f t="array" ref="B31">IFERROR(INDEX(Data!$C:$ZS,MATCH(1,(Data!$A:$A=$C$1)*(Data!$B:$B=$C$2),0),MATCH($A31, Data!$C$1:$ZS$1,0)),"")</f>
        <v>18249</v>
      </c>
      <c r="C31" s="62">
        <v>0.2</v>
      </c>
      <c r="D31" s="128"/>
      <c r="E31" s="35">
        <f>SUM('State Totals'!$D$25)</f>
        <v>3244.9925357803108</v>
      </c>
      <c r="F31" s="36">
        <f t="shared" si="2"/>
        <v>11843573.757090978</v>
      </c>
      <c r="G31" s="140" t="s">
        <v>62</v>
      </c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2"/>
    </row>
    <row r="32" spans="1:19" ht="16" thickBot="1" x14ac:dyDescent="0.25">
      <c r="A32" s="40" t="s">
        <v>63</v>
      </c>
      <c r="B32" s="135"/>
      <c r="C32" s="136"/>
      <c r="D32" s="129"/>
      <c r="E32" s="44"/>
      <c r="F32" s="45">
        <f>SUM(F25:F31)</f>
        <v>279026799.99999994</v>
      </c>
      <c r="G32" s="143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5"/>
    </row>
    <row r="33" spans="1:18" ht="16" thickBot="1" x14ac:dyDescent="0.25">
      <c r="A33" s="119" t="s">
        <v>64</v>
      </c>
      <c r="B33" s="120"/>
      <c r="C33" s="120"/>
      <c r="D33" s="120"/>
      <c r="E33" s="120"/>
      <c r="F33" s="121"/>
      <c r="G33" s="149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1"/>
    </row>
    <row r="34" spans="1:18" ht="16" thickBot="1" x14ac:dyDescent="0.25">
      <c r="A34" s="63" t="s">
        <v>65</v>
      </c>
      <c r="B34" s="28"/>
      <c r="C34" s="28"/>
      <c r="D34" s="28"/>
      <c r="E34" s="28"/>
      <c r="F34" s="28"/>
      <c r="G34" s="146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8"/>
    </row>
    <row r="35" spans="1:18" x14ac:dyDescent="0.2">
      <c r="A35" s="90" t="s">
        <v>66</v>
      </c>
      <c r="B35" s="31"/>
      <c r="C35" s="32"/>
      <c r="D35" s="37">
        <f>IF($C$2="Statewide",43,IF(OR(ISNUMBER(SEARCH("District",$C$2)),ISNUMBER(SEARCH("Charter",$C$2))),1,0))</f>
        <v>43</v>
      </c>
      <c r="E35" s="30">
        <v>188319</v>
      </c>
      <c r="F35" s="30">
        <f>D35*E35</f>
        <v>8097717</v>
      </c>
      <c r="G35" s="140" t="s">
        <v>67</v>
      </c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2"/>
    </row>
    <row r="36" spans="1:18" x14ac:dyDescent="0.2">
      <c r="A36" s="90" t="s">
        <v>68</v>
      </c>
      <c r="B36" s="31"/>
      <c r="C36" s="32"/>
      <c r="D36" s="64">
        <f>IF($C$2="Statewide",COUNTIF(Data!$B$2:$B$296,"*District*")+COUNTIF(Data!$B$2:$B$296,"*Charter*"),IF(OR(ISNUMBER(SEARCH("District",$C$2)),ISNUMBER(SEARCH("Charter",$C$2))),1,0))</f>
        <v>43</v>
      </c>
      <c r="E36" s="30">
        <v>111365</v>
      </c>
      <c r="F36" s="30">
        <f t="shared" ref="F36:F43" si="3">D36*E36</f>
        <v>4788695</v>
      </c>
      <c r="G36" s="140" t="s">
        <v>67</v>
      </c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2"/>
    </row>
    <row r="37" spans="1:18" x14ac:dyDescent="0.2">
      <c r="A37" s="90" t="s">
        <v>69</v>
      </c>
      <c r="B37" s="31"/>
      <c r="C37" s="32"/>
      <c r="D37" s="77" cm="1">
        <f t="array" ref="D37">INDEX(Data!$S:$S, MATCH(1, (Data!$A:$A=$C$1)*(Data!$B:$B=$C$2), 0))</f>
        <v>25.97</v>
      </c>
      <c r="E37" s="30">
        <v>167858</v>
      </c>
      <c r="F37" s="30">
        <f t="shared" si="3"/>
        <v>4359272.26</v>
      </c>
      <c r="G37" s="140" t="s">
        <v>70</v>
      </c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2"/>
    </row>
    <row r="38" spans="1:18" x14ac:dyDescent="0.2">
      <c r="A38" s="90" t="s">
        <v>71</v>
      </c>
      <c r="B38" s="31"/>
      <c r="C38" s="32"/>
      <c r="D38" s="77" cm="1">
        <f t="array" ref="D38">INDEX(Data!$T:$T, MATCH(1, (Data!$A:$A=$C$1)*(Data!$B:$B=$C$2), 0))</f>
        <v>75</v>
      </c>
      <c r="E38" s="30">
        <v>166369</v>
      </c>
      <c r="F38" s="30">
        <f>IFERROR((D38*E38),0)</f>
        <v>12477675</v>
      </c>
      <c r="G38" s="140" t="s">
        <v>72</v>
      </c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2"/>
    </row>
    <row r="39" spans="1:18" x14ac:dyDescent="0.2">
      <c r="A39" s="90" t="s">
        <v>73</v>
      </c>
      <c r="B39" s="31"/>
      <c r="C39" s="32"/>
      <c r="D39" s="37">
        <f>IF($C$2="Statewide",$D$17/150,IF(OR(ISNUMBER(SEARCH("District",$C$2)),ISNUMBER(SEARCH("Charter",$C$2))),(D17)/150,""))</f>
        <v>107.77309333333334</v>
      </c>
      <c r="E39" s="30">
        <f>ROUND(((123580/12)*11),2)</f>
        <v>113281.67</v>
      </c>
      <c r="F39" s="30">
        <f>IFERROR((D39*E39),0)</f>
        <v>12208715.993865866</v>
      </c>
      <c r="G39" s="140" t="s">
        <v>74</v>
      </c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2"/>
    </row>
    <row r="40" spans="1:18" x14ac:dyDescent="0.2">
      <c r="A40" s="90" t="s">
        <v>75</v>
      </c>
      <c r="B40" s="31"/>
      <c r="C40" s="32"/>
      <c r="D40" s="37">
        <f>IF($C$2="Statewide",43,IF(OR(ISNUMBER(SEARCH("District",$C$2)),ISNUMBER(SEARCH("Charter",$C$2))),1,0))</f>
        <v>43</v>
      </c>
      <c r="E40" s="30">
        <v>123580</v>
      </c>
      <c r="F40" s="30">
        <f t="shared" si="3"/>
        <v>5313940</v>
      </c>
      <c r="G40" s="140" t="s">
        <v>67</v>
      </c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2"/>
    </row>
    <row r="41" spans="1:18" ht="30.75" customHeight="1" x14ac:dyDescent="0.2">
      <c r="A41" s="91" t="s">
        <v>76</v>
      </c>
      <c r="B41" s="78"/>
      <c r="C41" s="72"/>
      <c r="D41" s="77" cm="1">
        <f t="array" ref="D41">INDEX(Data!$U:$U, MATCH(1, (Data!$A:$A=$C$1)*(Data!$B:$B=$C$2), 0))</f>
        <v>46</v>
      </c>
      <c r="E41" s="79">
        <v>123580</v>
      </c>
      <c r="F41" s="79">
        <f t="shared" si="3"/>
        <v>5684680</v>
      </c>
      <c r="G41" s="152" t="s">
        <v>77</v>
      </c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4"/>
    </row>
    <row r="42" spans="1:18" x14ac:dyDescent="0.2">
      <c r="A42" s="90" t="s">
        <v>78</v>
      </c>
      <c r="B42" s="31"/>
      <c r="C42" s="32">
        <v>7500</v>
      </c>
      <c r="D42" s="37">
        <f>IF($C$2="Statewide",$B$17/$C$42,IF(OR(ISNUMBER(SEARCH("District",$C$2)),ISNUMBER(SEARCH("Charter",$C$2))),B17/C42,""))</f>
        <v>18.841866666666668</v>
      </c>
      <c r="E42" s="30">
        <v>123580</v>
      </c>
      <c r="F42" s="30">
        <f>IFERROR((D42*E42),0)</f>
        <v>2328477.882666667</v>
      </c>
      <c r="G42" s="140" t="s">
        <v>79</v>
      </c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2"/>
    </row>
    <row r="43" spans="1:18" ht="16" thickBot="1" x14ac:dyDescent="0.25">
      <c r="A43" s="90" t="s">
        <v>80</v>
      </c>
      <c r="B43" s="31"/>
      <c r="C43" s="65"/>
      <c r="D43" s="37">
        <f>IF($C$2="Statewide",43,IF(OR(ISNUMBER(SEARCH("District",$C$2)),ISNUMBER(SEARCH("Charter",$C$2))),1,0))</f>
        <v>43</v>
      </c>
      <c r="E43" s="66">
        <v>96155</v>
      </c>
      <c r="F43" s="30">
        <f t="shared" si="3"/>
        <v>4134665</v>
      </c>
      <c r="G43" s="140" t="s">
        <v>67</v>
      </c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2"/>
    </row>
    <row r="44" spans="1:18" ht="16" thickBot="1" x14ac:dyDescent="0.25">
      <c r="A44" s="40" t="s">
        <v>81</v>
      </c>
      <c r="B44" s="122"/>
      <c r="C44" s="123"/>
      <c r="D44" s="43">
        <f>SUM(D35:D43)</f>
        <v>445.58495999999997</v>
      </c>
      <c r="E44" s="67"/>
      <c r="F44" s="68">
        <f>SUM(F35:F43)</f>
        <v>59393838.136532538</v>
      </c>
      <c r="G44" s="143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5"/>
    </row>
    <row r="45" spans="1:18" ht="16" thickBot="1" x14ac:dyDescent="0.25">
      <c r="A45" s="124" t="s">
        <v>82</v>
      </c>
      <c r="B45" s="125"/>
      <c r="C45" s="126"/>
      <c r="D45" s="69">
        <f>D44+D17</f>
        <v>16611.54896</v>
      </c>
      <c r="E45" s="70"/>
      <c r="F45" s="71">
        <f>F44+F32+F22+F17</f>
        <v>2059561871.5565326</v>
      </c>
      <c r="G45" s="146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8"/>
    </row>
    <row r="47" spans="1:18" x14ac:dyDescent="0.2">
      <c r="F47" s="96">
        <f>-(1617641500+11883900+29888100+17893600)</f>
        <v>-1677307100</v>
      </c>
      <c r="G47" s="23" t="s">
        <v>83</v>
      </c>
    </row>
    <row r="48" spans="1:18" x14ac:dyDescent="0.2">
      <c r="F48" s="96">
        <v>-67722200</v>
      </c>
      <c r="G48" s="23" t="s">
        <v>84</v>
      </c>
    </row>
    <row r="49" spans="6:7" x14ac:dyDescent="0.2">
      <c r="F49" s="96">
        <v>-66085400</v>
      </c>
      <c r="G49" s="23" t="s">
        <v>2</v>
      </c>
    </row>
    <row r="50" spans="6:7" x14ac:dyDescent="0.2">
      <c r="F50" s="96">
        <v>-63972100</v>
      </c>
      <c r="G50" s="23" t="s">
        <v>85</v>
      </c>
    </row>
    <row r="51" spans="6:7" x14ac:dyDescent="0.2">
      <c r="F51" s="96">
        <v>-28150900</v>
      </c>
      <c r="G51" s="23" t="s">
        <v>86</v>
      </c>
    </row>
    <row r="52" spans="6:7" x14ac:dyDescent="0.2">
      <c r="F52" s="96">
        <v>-8242100</v>
      </c>
      <c r="G52" s="23" t="s">
        <v>87</v>
      </c>
    </row>
    <row r="53" spans="6:7" x14ac:dyDescent="0.2">
      <c r="F53" s="96">
        <f>-4970300</f>
        <v>-4970300</v>
      </c>
      <c r="G53" s="23" t="s">
        <v>88</v>
      </c>
    </row>
    <row r="54" spans="6:7" ht="16" thickBot="1" x14ac:dyDescent="0.25">
      <c r="F54" s="97">
        <f>SUM(F45:F53)</f>
        <v>143111771.55653262</v>
      </c>
      <c r="G54" s="98" t="s">
        <v>89</v>
      </c>
    </row>
  </sheetData>
  <sheetProtection algorithmName="SHA-512" hashValue="8FmHRmf9x9StQMyM8txBq8zRUljsf3kvwHpJ2uTix+gqweKSBgVNvlsWc2NxRUodU6drEA9cJCmcxF/qcYjT/w==" saltValue="bYYls/CzyUNBQ6HqN8M1CA==" spinCount="100000"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  <mergeCell ref="G36:R36"/>
    <mergeCell ref="G27:R27"/>
    <mergeCell ref="G28:R28"/>
    <mergeCell ref="G29:R29"/>
    <mergeCell ref="G30:R30"/>
    <mergeCell ref="G31:R31"/>
    <mergeCell ref="G25:R25"/>
    <mergeCell ref="G26:R26"/>
    <mergeCell ref="G15:R15"/>
    <mergeCell ref="G16:R16"/>
    <mergeCell ref="G20:R20"/>
    <mergeCell ref="G21:R21"/>
    <mergeCell ref="G11:R12"/>
    <mergeCell ref="G14:R14"/>
    <mergeCell ref="G6:R6"/>
    <mergeCell ref="G7:R7"/>
    <mergeCell ref="G8:R8"/>
    <mergeCell ref="G9:R9"/>
    <mergeCell ref="G10:R10"/>
    <mergeCell ref="G13:R13"/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" activePane="bottomLeft" state="frozen"/>
      <selection pane="bottomLeft" activeCell="C284" sqref="C284"/>
    </sheetView>
  </sheetViews>
  <sheetFormatPr baseColWidth="10" defaultColWidth="56.33203125" defaultRowHeight="15" x14ac:dyDescent="0.2"/>
  <cols>
    <col min="1" max="2" width="56.1640625" bestFit="1" customWidth="1"/>
    <col min="3" max="3" width="18.6640625" style="17" bestFit="1" customWidth="1"/>
    <col min="4" max="5" width="17" style="17" bestFit="1" customWidth="1"/>
    <col min="6" max="6" width="19" style="17" bestFit="1" customWidth="1"/>
    <col min="7" max="7" width="18.6640625" style="17" bestFit="1" customWidth="1"/>
    <col min="8" max="8" width="12.83203125" bestFit="1" customWidth="1"/>
    <col min="9" max="9" width="19.5" style="1" bestFit="1" customWidth="1"/>
    <col min="10" max="10" width="27.6640625" style="1" bestFit="1" customWidth="1"/>
    <col min="11" max="11" width="9.5" style="1" bestFit="1" customWidth="1"/>
    <col min="12" max="12" width="10.5" style="1" bestFit="1" customWidth="1"/>
    <col min="13" max="15" width="9.5" style="1" bestFit="1" customWidth="1"/>
    <col min="16" max="16" width="10.33203125" style="1" bestFit="1" customWidth="1"/>
    <col min="17" max="17" width="9.5" style="1" bestFit="1" customWidth="1"/>
    <col min="18" max="18" width="8" style="1" bestFit="1" customWidth="1"/>
    <col min="19" max="21" width="9.5" style="1" bestFit="1" customWidth="1"/>
    <col min="22" max="24" width="7" style="1" bestFit="1" customWidth="1"/>
    <col min="25" max="25" width="8" style="1" bestFit="1" customWidth="1"/>
    <col min="26" max="26" width="12.1640625" style="1" bestFit="1" customWidth="1"/>
    <col min="27" max="28" width="7" style="1" bestFit="1" customWidth="1"/>
    <col min="29" max="29" width="12.1640625" style="1" bestFit="1" customWidth="1"/>
    <col min="30" max="30" width="7" bestFit="1" customWidth="1"/>
  </cols>
  <sheetData>
    <row r="1" spans="1:30" s="16" customFormat="1" x14ac:dyDescent="0.2">
      <c r="A1" s="18" t="s">
        <v>90</v>
      </c>
      <c r="B1" s="18" t="s">
        <v>91</v>
      </c>
      <c r="C1" s="21" t="s">
        <v>92</v>
      </c>
      <c r="D1" s="21" t="s">
        <v>93</v>
      </c>
      <c r="E1" s="21" t="s">
        <v>94</v>
      </c>
      <c r="F1" s="21" t="s">
        <v>95</v>
      </c>
      <c r="G1" s="21" t="s">
        <v>96</v>
      </c>
      <c r="H1" s="18" t="s">
        <v>97</v>
      </c>
      <c r="I1" s="105" t="s">
        <v>98</v>
      </c>
      <c r="J1" s="105" t="s">
        <v>99</v>
      </c>
      <c r="K1" s="105" t="s">
        <v>100</v>
      </c>
      <c r="L1" s="105" t="s">
        <v>101</v>
      </c>
      <c r="M1" s="105" t="s">
        <v>102</v>
      </c>
      <c r="N1" s="105" t="s">
        <v>103</v>
      </c>
      <c r="O1" s="105" t="s">
        <v>104</v>
      </c>
      <c r="P1" s="105" t="s">
        <v>105</v>
      </c>
      <c r="Q1" s="105" t="s">
        <v>106</v>
      </c>
      <c r="R1" s="105" t="s">
        <v>107</v>
      </c>
      <c r="S1" s="105" t="s">
        <v>108</v>
      </c>
      <c r="T1" s="105" t="s">
        <v>109</v>
      </c>
      <c r="U1" s="105" t="s">
        <v>110</v>
      </c>
      <c r="V1" s="105" t="s">
        <v>111</v>
      </c>
      <c r="W1" s="105" t="s">
        <v>112</v>
      </c>
      <c r="X1" s="105" t="s">
        <v>113</v>
      </c>
      <c r="Y1" s="105" t="s">
        <v>114</v>
      </c>
      <c r="Z1" s="105" t="s">
        <v>115</v>
      </c>
      <c r="AA1" s="105" t="s">
        <v>116</v>
      </c>
      <c r="AB1" s="105" t="s">
        <v>117</v>
      </c>
      <c r="AC1" s="105" t="s">
        <v>118</v>
      </c>
      <c r="AD1" s="18" t="s">
        <v>119</v>
      </c>
    </row>
    <row r="2" spans="1:30" x14ac:dyDescent="0.2">
      <c r="A2" s="19" t="s">
        <v>120</v>
      </c>
      <c r="B2" s="19" t="s">
        <v>121</v>
      </c>
      <c r="C2" s="20">
        <v>14357015.119999999</v>
      </c>
      <c r="D2" s="20">
        <v>633167.38740000001</v>
      </c>
      <c r="E2" s="20">
        <v>2065194.3746</v>
      </c>
      <c r="F2" s="20">
        <v>0</v>
      </c>
      <c r="G2" s="20">
        <v>17055376.881999999</v>
      </c>
      <c r="H2" s="19" t="s">
        <v>122</v>
      </c>
      <c r="I2" s="106">
        <v>149.10400000000001</v>
      </c>
      <c r="J2" s="106">
        <v>0</v>
      </c>
      <c r="K2" s="106">
        <v>0</v>
      </c>
      <c r="L2" s="106">
        <v>54.5</v>
      </c>
      <c r="M2" s="106">
        <v>16.07</v>
      </c>
      <c r="N2" s="106">
        <v>1.83</v>
      </c>
      <c r="O2" s="106">
        <v>24.23</v>
      </c>
      <c r="P2" s="106">
        <v>-11.8</v>
      </c>
      <c r="Q2" s="106">
        <v>23.59</v>
      </c>
      <c r="R2" s="106">
        <v>1</v>
      </c>
      <c r="S2" s="106">
        <v>6</v>
      </c>
      <c r="T2" s="106">
        <v>12</v>
      </c>
      <c r="U2" s="106">
        <v>21.684000000000001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9">
        <v>0</v>
      </c>
    </row>
    <row r="3" spans="1:30" x14ac:dyDescent="0.2">
      <c r="A3" s="19" t="s">
        <v>120</v>
      </c>
      <c r="B3" s="19" t="s">
        <v>123</v>
      </c>
      <c r="C3" s="20">
        <v>3849806.7</v>
      </c>
      <c r="D3" s="20">
        <v>70208.845100000006</v>
      </c>
      <c r="E3" s="20">
        <v>515385.93949999998</v>
      </c>
      <c r="F3" s="20">
        <v>0</v>
      </c>
      <c r="G3" s="20">
        <v>4435401.4846000001</v>
      </c>
      <c r="H3" s="19" t="s">
        <v>122</v>
      </c>
      <c r="I3" s="106">
        <v>39.739999999999995</v>
      </c>
      <c r="J3" s="106">
        <v>0</v>
      </c>
      <c r="K3" s="106">
        <v>0</v>
      </c>
      <c r="L3" s="106">
        <v>0</v>
      </c>
      <c r="M3" s="106">
        <v>4.76</v>
      </c>
      <c r="N3" s="106">
        <v>11.5</v>
      </c>
      <c r="O3" s="106">
        <v>12.69</v>
      </c>
      <c r="P3" s="106">
        <v>0</v>
      </c>
      <c r="Q3" s="106">
        <v>0</v>
      </c>
      <c r="R3" s="106">
        <v>1</v>
      </c>
      <c r="S3" s="106">
        <v>1</v>
      </c>
      <c r="T3" s="106">
        <v>3</v>
      </c>
      <c r="U3" s="106">
        <v>5.79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9">
        <v>0</v>
      </c>
    </row>
    <row r="4" spans="1:30" x14ac:dyDescent="0.2">
      <c r="A4" s="19" t="s">
        <v>120</v>
      </c>
      <c r="B4" s="19" t="s">
        <v>124</v>
      </c>
      <c r="C4" s="20">
        <v>4686525.16</v>
      </c>
      <c r="D4" s="20">
        <v>175336.3751</v>
      </c>
      <c r="E4" s="20">
        <v>618073.72829999996</v>
      </c>
      <c r="F4" s="20">
        <v>0</v>
      </c>
      <c r="G4" s="20">
        <v>5479935.2633999996</v>
      </c>
      <c r="H4" s="19" t="s">
        <v>122</v>
      </c>
      <c r="I4" s="106">
        <v>48.672000000000004</v>
      </c>
      <c r="J4" s="106">
        <v>0</v>
      </c>
      <c r="K4" s="106">
        <v>12.22</v>
      </c>
      <c r="L4" s="106">
        <v>0</v>
      </c>
      <c r="M4" s="106">
        <v>1.79</v>
      </c>
      <c r="N4" s="106">
        <v>11.17</v>
      </c>
      <c r="O4" s="106">
        <v>10.38</v>
      </c>
      <c r="P4" s="106">
        <v>0</v>
      </c>
      <c r="Q4" s="106">
        <v>0</v>
      </c>
      <c r="R4" s="106">
        <v>1</v>
      </c>
      <c r="S4" s="106">
        <v>1</v>
      </c>
      <c r="T4" s="106">
        <v>4</v>
      </c>
      <c r="U4" s="106">
        <v>7.112000000000001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9">
        <v>0</v>
      </c>
    </row>
    <row r="5" spans="1:30" x14ac:dyDescent="0.2">
      <c r="A5" s="19" t="s">
        <v>120</v>
      </c>
      <c r="B5" s="19" t="s">
        <v>125</v>
      </c>
      <c r="C5" s="20">
        <v>5630970.8399999999</v>
      </c>
      <c r="D5" s="20">
        <v>388464.17800000001</v>
      </c>
      <c r="E5" s="20">
        <v>823481.75580000004</v>
      </c>
      <c r="F5" s="20">
        <v>0</v>
      </c>
      <c r="G5" s="20">
        <v>6842916.7737999996</v>
      </c>
      <c r="H5" s="19" t="s">
        <v>122</v>
      </c>
      <c r="I5" s="106">
        <v>58.327999999999996</v>
      </c>
      <c r="J5" s="106">
        <v>0</v>
      </c>
      <c r="K5" s="106">
        <v>16.23</v>
      </c>
      <c r="L5" s="106">
        <v>8.15</v>
      </c>
      <c r="M5" s="106">
        <v>5.12</v>
      </c>
      <c r="N5" s="106">
        <v>6.67</v>
      </c>
      <c r="O5" s="106">
        <v>5.77</v>
      </c>
      <c r="P5" s="106">
        <v>0</v>
      </c>
      <c r="Q5" s="106">
        <v>0</v>
      </c>
      <c r="R5" s="106">
        <v>1</v>
      </c>
      <c r="S5" s="106">
        <v>2</v>
      </c>
      <c r="T5" s="106">
        <v>5</v>
      </c>
      <c r="U5" s="106">
        <v>8.3879999999999999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9">
        <v>0</v>
      </c>
    </row>
    <row r="6" spans="1:30" x14ac:dyDescent="0.2">
      <c r="A6" s="19" t="s">
        <v>120</v>
      </c>
      <c r="B6" s="19" t="s">
        <v>126</v>
      </c>
      <c r="C6" s="20">
        <v>6165208.0199999996</v>
      </c>
      <c r="D6" s="20">
        <v>418727.03820000001</v>
      </c>
      <c r="E6" s="20">
        <v>893541.14469999995</v>
      </c>
      <c r="F6" s="20">
        <v>0</v>
      </c>
      <c r="G6" s="20">
        <v>7477476.2028999999</v>
      </c>
      <c r="H6" s="19" t="s">
        <v>122</v>
      </c>
      <c r="I6" s="106">
        <v>63.883999999999993</v>
      </c>
      <c r="J6" s="106">
        <v>0</v>
      </c>
      <c r="K6" s="106">
        <v>16.73</v>
      </c>
      <c r="L6" s="106">
        <v>8.9499999999999993</v>
      </c>
      <c r="M6" s="106">
        <v>3.33</v>
      </c>
      <c r="N6" s="106">
        <v>3.33</v>
      </c>
      <c r="O6" s="106">
        <v>14.23</v>
      </c>
      <c r="P6" s="106">
        <v>0</v>
      </c>
      <c r="Q6" s="106">
        <v>0</v>
      </c>
      <c r="R6" s="106">
        <v>1</v>
      </c>
      <c r="S6" s="106">
        <v>2</v>
      </c>
      <c r="T6" s="106">
        <v>5</v>
      </c>
      <c r="U6" s="106">
        <v>9.3140000000000001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9">
        <v>0</v>
      </c>
    </row>
    <row r="7" spans="1:30" x14ac:dyDescent="0.2">
      <c r="A7" s="19" t="s">
        <v>120</v>
      </c>
      <c r="B7" s="19" t="s">
        <v>127</v>
      </c>
      <c r="C7" s="20">
        <v>8440224.2400000002</v>
      </c>
      <c r="D7" s="20">
        <v>298319.48800000001</v>
      </c>
      <c r="E7" s="20">
        <v>1071107.1362000001</v>
      </c>
      <c r="F7" s="20">
        <v>0</v>
      </c>
      <c r="G7" s="20">
        <v>9809650.8641999997</v>
      </c>
      <c r="H7" s="19" t="s">
        <v>122</v>
      </c>
      <c r="I7" s="106">
        <v>87.608000000000004</v>
      </c>
      <c r="J7" s="106">
        <v>0</v>
      </c>
      <c r="K7" s="106">
        <v>0</v>
      </c>
      <c r="L7" s="106">
        <v>34.15</v>
      </c>
      <c r="M7" s="106">
        <v>11.9</v>
      </c>
      <c r="N7" s="106">
        <v>4.83</v>
      </c>
      <c r="O7" s="106">
        <v>8.85</v>
      </c>
      <c r="P7" s="106">
        <v>-4.12</v>
      </c>
      <c r="Q7" s="106">
        <v>8.23</v>
      </c>
      <c r="R7" s="106">
        <v>1</v>
      </c>
      <c r="S7" s="106">
        <v>3</v>
      </c>
      <c r="T7" s="106">
        <v>7</v>
      </c>
      <c r="U7" s="106">
        <v>12.768000000000001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9">
        <v>0</v>
      </c>
    </row>
    <row r="8" spans="1:30" x14ac:dyDescent="0.2">
      <c r="A8" s="19" t="s">
        <v>120</v>
      </c>
      <c r="B8" s="19" t="s">
        <v>128</v>
      </c>
      <c r="C8" s="20">
        <v>2738051.32</v>
      </c>
      <c r="D8" s="20">
        <v>115627.9005</v>
      </c>
      <c r="E8" s="20">
        <v>331362.41279999999</v>
      </c>
      <c r="F8" s="20">
        <v>0</v>
      </c>
      <c r="G8" s="20">
        <v>3185041.6332999999</v>
      </c>
      <c r="H8" s="19" t="s">
        <v>122</v>
      </c>
      <c r="I8" s="106">
        <v>28.343999999999998</v>
      </c>
      <c r="J8" s="106">
        <v>0</v>
      </c>
      <c r="K8" s="106">
        <v>14.94</v>
      </c>
      <c r="L8" s="106">
        <v>0</v>
      </c>
      <c r="M8" s="106">
        <v>0.6</v>
      </c>
      <c r="N8" s="106">
        <v>2.5</v>
      </c>
      <c r="O8" s="106">
        <v>3.08</v>
      </c>
      <c r="P8" s="106">
        <v>0</v>
      </c>
      <c r="Q8" s="106">
        <v>0</v>
      </c>
      <c r="R8" s="106">
        <v>1</v>
      </c>
      <c r="S8" s="106">
        <v>0</v>
      </c>
      <c r="T8" s="106">
        <v>2</v>
      </c>
      <c r="U8" s="106">
        <v>4.2240000000000002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9">
        <v>0</v>
      </c>
    </row>
    <row r="9" spans="1:30" x14ac:dyDescent="0.2">
      <c r="A9" s="19" t="s">
        <v>120</v>
      </c>
      <c r="B9" s="19" t="s">
        <v>129</v>
      </c>
      <c r="C9" s="20">
        <v>6398287.7400000002</v>
      </c>
      <c r="D9" s="20">
        <v>165058.88990000001</v>
      </c>
      <c r="E9" s="20">
        <v>746364.50820000004</v>
      </c>
      <c r="F9" s="20">
        <v>0</v>
      </c>
      <c r="G9" s="20">
        <v>7309711.1381000001</v>
      </c>
      <c r="H9" s="19" t="s">
        <v>122</v>
      </c>
      <c r="I9" s="106">
        <v>66.308000000000007</v>
      </c>
      <c r="J9" s="106">
        <v>0</v>
      </c>
      <c r="K9" s="106">
        <v>19.440000000000001</v>
      </c>
      <c r="L9" s="106">
        <v>11.3</v>
      </c>
      <c r="M9" s="106">
        <v>4.5199999999999996</v>
      </c>
      <c r="N9" s="106">
        <v>3.33</v>
      </c>
      <c r="O9" s="106">
        <v>10</v>
      </c>
      <c r="P9" s="106">
        <v>0</v>
      </c>
      <c r="Q9" s="106">
        <v>0</v>
      </c>
      <c r="R9" s="106">
        <v>1</v>
      </c>
      <c r="S9" s="106">
        <v>2</v>
      </c>
      <c r="T9" s="106">
        <v>5</v>
      </c>
      <c r="U9" s="106">
        <v>9.7180000000000017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9">
        <v>0</v>
      </c>
    </row>
    <row r="10" spans="1:30" x14ac:dyDescent="0.2">
      <c r="A10" s="19" t="s">
        <v>120</v>
      </c>
      <c r="B10" s="19" t="s">
        <v>130</v>
      </c>
      <c r="C10" s="20">
        <v>4626524.4400000004</v>
      </c>
      <c r="D10" s="20">
        <v>132889.12270000001</v>
      </c>
      <c r="E10" s="20">
        <v>548533.53819999995</v>
      </c>
      <c r="F10" s="20">
        <v>0</v>
      </c>
      <c r="G10" s="20">
        <v>5307947.1009999998</v>
      </c>
      <c r="H10" s="19" t="s">
        <v>122</v>
      </c>
      <c r="I10" s="106">
        <v>48.048000000000009</v>
      </c>
      <c r="J10" s="106">
        <v>0</v>
      </c>
      <c r="K10" s="106">
        <v>13.58</v>
      </c>
      <c r="L10" s="106">
        <v>7.3</v>
      </c>
      <c r="M10" s="106">
        <v>3.1</v>
      </c>
      <c r="N10" s="106">
        <v>1.83</v>
      </c>
      <c r="O10" s="106">
        <v>9.23</v>
      </c>
      <c r="P10" s="106">
        <v>0</v>
      </c>
      <c r="Q10" s="106">
        <v>0</v>
      </c>
      <c r="R10" s="106">
        <v>1</v>
      </c>
      <c r="S10" s="106">
        <v>1</v>
      </c>
      <c r="T10" s="106">
        <v>4</v>
      </c>
      <c r="U10" s="106">
        <v>7.008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9">
        <v>0</v>
      </c>
    </row>
    <row r="11" spans="1:30" x14ac:dyDescent="0.2">
      <c r="A11" s="19" t="s">
        <v>120</v>
      </c>
      <c r="B11" s="19" t="s">
        <v>131</v>
      </c>
      <c r="C11" s="20">
        <v>6338287.0199999996</v>
      </c>
      <c r="D11" s="20">
        <v>218427.51819999999</v>
      </c>
      <c r="E11" s="20">
        <v>788241.13690000004</v>
      </c>
      <c r="F11" s="20">
        <v>0</v>
      </c>
      <c r="G11" s="20">
        <v>7344955.6749999998</v>
      </c>
      <c r="H11" s="19" t="s">
        <v>122</v>
      </c>
      <c r="I11" s="106">
        <v>65.683999999999997</v>
      </c>
      <c r="J11" s="106">
        <v>0</v>
      </c>
      <c r="K11" s="106">
        <v>16.23</v>
      </c>
      <c r="L11" s="106">
        <v>10.3</v>
      </c>
      <c r="M11" s="106">
        <v>4.5199999999999996</v>
      </c>
      <c r="N11" s="106">
        <v>3.17</v>
      </c>
      <c r="O11" s="106">
        <v>13.85</v>
      </c>
      <c r="P11" s="106">
        <v>0</v>
      </c>
      <c r="Q11" s="106">
        <v>0</v>
      </c>
      <c r="R11" s="106">
        <v>1</v>
      </c>
      <c r="S11" s="106">
        <v>2</v>
      </c>
      <c r="T11" s="106">
        <v>5</v>
      </c>
      <c r="U11" s="106">
        <v>9.6140000000000008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9">
        <v>0</v>
      </c>
    </row>
    <row r="12" spans="1:30" x14ac:dyDescent="0.2">
      <c r="A12" s="19" t="s">
        <v>120</v>
      </c>
      <c r="B12" s="19" t="s">
        <v>132</v>
      </c>
      <c r="C12" s="20">
        <v>4522677.04</v>
      </c>
      <c r="D12" s="20">
        <v>244579.38430000001</v>
      </c>
      <c r="E12" s="20">
        <v>594093.23349999997</v>
      </c>
      <c r="F12" s="20">
        <v>0</v>
      </c>
      <c r="G12" s="20">
        <v>5361349.6577000003</v>
      </c>
      <c r="H12" s="19" t="s">
        <v>122</v>
      </c>
      <c r="I12" s="106">
        <v>46.968000000000004</v>
      </c>
      <c r="J12" s="106">
        <v>0</v>
      </c>
      <c r="K12" s="106">
        <v>16.05</v>
      </c>
      <c r="L12" s="106">
        <v>9.65</v>
      </c>
      <c r="M12" s="106">
        <v>2.98</v>
      </c>
      <c r="N12" s="106">
        <v>2</v>
      </c>
      <c r="O12" s="106">
        <v>3.46</v>
      </c>
      <c r="P12" s="106">
        <v>0</v>
      </c>
      <c r="Q12" s="106">
        <v>0</v>
      </c>
      <c r="R12" s="106">
        <v>1</v>
      </c>
      <c r="S12" s="106">
        <v>1</v>
      </c>
      <c r="T12" s="106">
        <v>4</v>
      </c>
      <c r="U12" s="106">
        <v>6.8280000000000003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9">
        <v>0</v>
      </c>
    </row>
    <row r="13" spans="1:30" x14ac:dyDescent="0.2">
      <c r="A13" s="19" t="s">
        <v>120</v>
      </c>
      <c r="B13" s="19" t="s">
        <v>133</v>
      </c>
      <c r="C13" s="20">
        <v>7736369.6399999997</v>
      </c>
      <c r="D13" s="20">
        <v>405056.74459999998</v>
      </c>
      <c r="E13" s="20">
        <v>1189841.4131</v>
      </c>
      <c r="F13" s="20">
        <v>0</v>
      </c>
      <c r="G13" s="20">
        <v>9331267.7977000009</v>
      </c>
      <c r="H13" s="19" t="s">
        <v>122</v>
      </c>
      <c r="I13" s="106">
        <v>80.288000000000011</v>
      </c>
      <c r="J13" s="106">
        <v>0</v>
      </c>
      <c r="K13" s="106">
        <v>0</v>
      </c>
      <c r="L13" s="106">
        <v>34.35</v>
      </c>
      <c r="M13" s="106">
        <v>12.14</v>
      </c>
      <c r="N13" s="106">
        <v>2.17</v>
      </c>
      <c r="O13" s="106">
        <v>5</v>
      </c>
      <c r="P13" s="106">
        <v>-4.08</v>
      </c>
      <c r="Q13" s="106">
        <v>8.16</v>
      </c>
      <c r="R13" s="106">
        <v>1</v>
      </c>
      <c r="S13" s="106">
        <v>3</v>
      </c>
      <c r="T13" s="106">
        <v>7</v>
      </c>
      <c r="U13" s="106">
        <v>11.548000000000002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9">
        <v>0</v>
      </c>
    </row>
    <row r="14" spans="1:30" x14ac:dyDescent="0.2">
      <c r="A14" s="19" t="s">
        <v>120</v>
      </c>
      <c r="B14" s="19" t="s">
        <v>134</v>
      </c>
      <c r="C14" s="20">
        <v>13345645.560000001</v>
      </c>
      <c r="D14" s="20">
        <v>523086.85249999998</v>
      </c>
      <c r="E14" s="20">
        <v>1893161.0952999999</v>
      </c>
      <c r="F14" s="20">
        <v>0</v>
      </c>
      <c r="G14" s="20">
        <v>15761893.5078</v>
      </c>
      <c r="H14" s="19" t="s">
        <v>122</v>
      </c>
      <c r="I14" s="106">
        <v>138.75200000000001</v>
      </c>
      <c r="J14" s="106">
        <v>0</v>
      </c>
      <c r="K14" s="106">
        <v>0</v>
      </c>
      <c r="L14" s="106">
        <v>50.4</v>
      </c>
      <c r="M14" s="106">
        <v>14.4</v>
      </c>
      <c r="N14" s="106">
        <v>4.33</v>
      </c>
      <c r="O14" s="106">
        <v>21.15</v>
      </c>
      <c r="P14" s="106">
        <v>-11.19</v>
      </c>
      <c r="Q14" s="106">
        <v>22.37</v>
      </c>
      <c r="R14" s="106">
        <v>1</v>
      </c>
      <c r="S14" s="106">
        <v>5</v>
      </c>
      <c r="T14" s="106">
        <v>11</v>
      </c>
      <c r="U14" s="106">
        <v>20.292000000000002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9">
        <v>0</v>
      </c>
    </row>
    <row r="15" spans="1:30" x14ac:dyDescent="0.2">
      <c r="A15" s="19" t="s">
        <v>120</v>
      </c>
      <c r="B15" s="19" t="s">
        <v>135</v>
      </c>
      <c r="C15" s="20">
        <v>11998920.98</v>
      </c>
      <c r="D15" s="20">
        <v>398617.83809999999</v>
      </c>
      <c r="E15" s="20">
        <v>1630868.3485999999</v>
      </c>
      <c r="F15" s="20">
        <v>0</v>
      </c>
      <c r="G15" s="20">
        <v>14028407.1668</v>
      </c>
      <c r="H15" s="19" t="s">
        <v>122</v>
      </c>
      <c r="I15" s="106">
        <v>124.51599999999999</v>
      </c>
      <c r="J15" s="106">
        <v>0</v>
      </c>
      <c r="K15" s="106">
        <v>0</v>
      </c>
      <c r="L15" s="106">
        <v>54.6</v>
      </c>
      <c r="M15" s="106">
        <v>16.309999999999999</v>
      </c>
      <c r="N15" s="106">
        <v>3.33</v>
      </c>
      <c r="O15" s="106">
        <v>4.2300000000000004</v>
      </c>
      <c r="P15" s="106">
        <v>-11.96</v>
      </c>
      <c r="Q15" s="106">
        <v>23.92</v>
      </c>
      <c r="R15" s="106">
        <v>1</v>
      </c>
      <c r="S15" s="106">
        <v>5</v>
      </c>
      <c r="T15" s="106">
        <v>10</v>
      </c>
      <c r="U15" s="106">
        <v>18.086000000000002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9">
        <v>0</v>
      </c>
    </row>
    <row r="16" spans="1:30" x14ac:dyDescent="0.2">
      <c r="A16" s="19" t="s">
        <v>120</v>
      </c>
      <c r="B16" s="19" t="s">
        <v>136</v>
      </c>
      <c r="C16" s="20">
        <v>7904833.2000000002</v>
      </c>
      <c r="D16" s="20">
        <v>265010.52970000001</v>
      </c>
      <c r="E16" s="20">
        <v>951480.48640000005</v>
      </c>
      <c r="F16" s="20">
        <v>0</v>
      </c>
      <c r="G16" s="20">
        <v>9121324.2160999998</v>
      </c>
      <c r="H16" s="19" t="s">
        <v>122</v>
      </c>
      <c r="I16" s="106">
        <v>82.04</v>
      </c>
      <c r="J16" s="106">
        <v>0</v>
      </c>
      <c r="K16" s="106">
        <v>23.95</v>
      </c>
      <c r="L16" s="106">
        <v>13.35</v>
      </c>
      <c r="M16" s="106">
        <v>5.48</v>
      </c>
      <c r="N16" s="106">
        <v>4.5</v>
      </c>
      <c r="O16" s="106">
        <v>11.92</v>
      </c>
      <c r="P16" s="106">
        <v>0</v>
      </c>
      <c r="Q16" s="106">
        <v>0</v>
      </c>
      <c r="R16" s="106">
        <v>1</v>
      </c>
      <c r="S16" s="106">
        <v>3</v>
      </c>
      <c r="T16" s="106">
        <v>7</v>
      </c>
      <c r="U16" s="106">
        <v>11.840000000000002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9">
        <v>0</v>
      </c>
    </row>
    <row r="17" spans="1:30" x14ac:dyDescent="0.2">
      <c r="A17" s="19" t="s">
        <v>120</v>
      </c>
      <c r="B17" s="19" t="s">
        <v>137</v>
      </c>
      <c r="C17" s="20">
        <v>6236747.3399999999</v>
      </c>
      <c r="D17" s="20">
        <v>446315.2758</v>
      </c>
      <c r="E17" s="20">
        <v>1014968.7653</v>
      </c>
      <c r="F17" s="20">
        <v>0</v>
      </c>
      <c r="G17" s="20">
        <v>7698031.3810999999</v>
      </c>
      <c r="H17" s="19" t="s">
        <v>122</v>
      </c>
      <c r="I17" s="106">
        <v>64.628</v>
      </c>
      <c r="J17" s="106">
        <v>0</v>
      </c>
      <c r="K17" s="106">
        <v>0</v>
      </c>
      <c r="L17" s="106">
        <v>20.95</v>
      </c>
      <c r="M17" s="106">
        <v>9.64</v>
      </c>
      <c r="N17" s="106">
        <v>3.17</v>
      </c>
      <c r="O17" s="106">
        <v>11.15</v>
      </c>
      <c r="P17" s="106">
        <v>-2.29</v>
      </c>
      <c r="Q17" s="106">
        <v>4.57</v>
      </c>
      <c r="R17" s="106">
        <v>1</v>
      </c>
      <c r="S17" s="106">
        <v>2</v>
      </c>
      <c r="T17" s="106">
        <v>5</v>
      </c>
      <c r="U17" s="106">
        <v>9.4380000000000006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9">
        <v>0</v>
      </c>
    </row>
    <row r="18" spans="1:30" x14ac:dyDescent="0.2">
      <c r="A18" s="19" t="s">
        <v>120</v>
      </c>
      <c r="B18" s="19" t="s">
        <v>138</v>
      </c>
      <c r="C18" s="20">
        <v>4979605.5999999996</v>
      </c>
      <c r="D18" s="20">
        <v>408821.02830000001</v>
      </c>
      <c r="E18" s="20">
        <v>762832.84530000004</v>
      </c>
      <c r="F18" s="20">
        <v>0</v>
      </c>
      <c r="G18" s="20">
        <v>6151259.4736000001</v>
      </c>
      <c r="H18" s="19" t="s">
        <v>122</v>
      </c>
      <c r="I18" s="106">
        <v>51.72</v>
      </c>
      <c r="J18" s="106">
        <v>0</v>
      </c>
      <c r="K18" s="106">
        <v>16.36</v>
      </c>
      <c r="L18" s="106">
        <v>10.5</v>
      </c>
      <c r="M18" s="106">
        <v>4.29</v>
      </c>
      <c r="N18" s="106">
        <v>2.33</v>
      </c>
      <c r="O18" s="106">
        <v>4.62</v>
      </c>
      <c r="P18" s="106">
        <v>0</v>
      </c>
      <c r="Q18" s="106">
        <v>0</v>
      </c>
      <c r="R18" s="106">
        <v>1</v>
      </c>
      <c r="S18" s="106">
        <v>1</v>
      </c>
      <c r="T18" s="106">
        <v>4</v>
      </c>
      <c r="U18" s="106">
        <v>7.620000000000001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9">
        <v>0</v>
      </c>
    </row>
    <row r="19" spans="1:30" x14ac:dyDescent="0.2">
      <c r="A19" s="19" t="s">
        <v>120</v>
      </c>
      <c r="B19" s="19" t="s">
        <v>139</v>
      </c>
      <c r="C19" s="20">
        <v>2840744.86</v>
      </c>
      <c r="D19" s="20">
        <v>78207.948099999994</v>
      </c>
      <c r="E19" s="20">
        <v>337381.87390000001</v>
      </c>
      <c r="F19" s="20">
        <v>0</v>
      </c>
      <c r="G19" s="20">
        <v>3256334.6820999999</v>
      </c>
      <c r="H19" s="19" t="s">
        <v>122</v>
      </c>
      <c r="I19" s="106">
        <v>29.411999999999999</v>
      </c>
      <c r="J19" s="106">
        <v>0</v>
      </c>
      <c r="K19" s="106">
        <v>9.94</v>
      </c>
      <c r="L19" s="106">
        <v>0</v>
      </c>
      <c r="M19" s="106">
        <v>0.36</v>
      </c>
      <c r="N19" s="106">
        <v>1.33</v>
      </c>
      <c r="O19" s="106">
        <v>10.38</v>
      </c>
      <c r="P19" s="106">
        <v>0</v>
      </c>
      <c r="Q19" s="106">
        <v>0</v>
      </c>
      <c r="R19" s="106">
        <v>1</v>
      </c>
      <c r="S19" s="106">
        <v>0</v>
      </c>
      <c r="T19" s="106">
        <v>2</v>
      </c>
      <c r="U19" s="106">
        <v>4.4020000000000001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9">
        <v>0</v>
      </c>
    </row>
    <row r="20" spans="1:30" x14ac:dyDescent="0.2">
      <c r="A20" s="19" t="s">
        <v>120</v>
      </c>
      <c r="B20" s="19" t="s">
        <v>140</v>
      </c>
      <c r="C20" s="20">
        <v>2474971.2400000002</v>
      </c>
      <c r="D20" s="20">
        <v>133607.30840000001</v>
      </c>
      <c r="E20" s="20">
        <v>325424.07650000002</v>
      </c>
      <c r="F20" s="20">
        <v>0</v>
      </c>
      <c r="G20" s="20">
        <v>2934002.6249000002</v>
      </c>
      <c r="H20" s="19" t="s">
        <v>122</v>
      </c>
      <c r="I20" s="106">
        <v>25.608000000000001</v>
      </c>
      <c r="J20" s="106">
        <v>0</v>
      </c>
      <c r="K20" s="106">
        <v>10.119999999999999</v>
      </c>
      <c r="L20" s="106">
        <v>0</v>
      </c>
      <c r="M20" s="106">
        <v>0.24</v>
      </c>
      <c r="N20" s="106">
        <v>1.17</v>
      </c>
      <c r="O20" s="106">
        <v>7.31</v>
      </c>
      <c r="P20" s="106">
        <v>0</v>
      </c>
      <c r="Q20" s="106">
        <v>0</v>
      </c>
      <c r="R20" s="106">
        <v>1</v>
      </c>
      <c r="S20" s="106">
        <v>0</v>
      </c>
      <c r="T20" s="106">
        <v>2</v>
      </c>
      <c r="U20" s="106">
        <v>3.7680000000000002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9">
        <v>0</v>
      </c>
    </row>
    <row r="21" spans="1:30" x14ac:dyDescent="0.2">
      <c r="A21" s="19" t="s">
        <v>120</v>
      </c>
      <c r="B21" s="19" t="s">
        <v>141</v>
      </c>
      <c r="C21" s="20">
        <v>4102502.04</v>
      </c>
      <c r="D21" s="20">
        <v>189006.66880000001</v>
      </c>
      <c r="E21" s="20">
        <v>527862.93579999998</v>
      </c>
      <c r="F21" s="20">
        <v>0</v>
      </c>
      <c r="G21" s="20">
        <v>4819371.6446000002</v>
      </c>
      <c r="H21" s="19" t="s">
        <v>122</v>
      </c>
      <c r="I21" s="106">
        <v>42.368000000000002</v>
      </c>
      <c r="J21" s="106">
        <v>0</v>
      </c>
      <c r="K21" s="106">
        <v>15.06</v>
      </c>
      <c r="L21" s="106">
        <v>7.2</v>
      </c>
      <c r="M21" s="106">
        <v>4.4000000000000004</v>
      </c>
      <c r="N21" s="106">
        <v>2.17</v>
      </c>
      <c r="O21" s="106">
        <v>2.31</v>
      </c>
      <c r="P21" s="106">
        <v>0</v>
      </c>
      <c r="Q21" s="106">
        <v>0</v>
      </c>
      <c r="R21" s="106">
        <v>1</v>
      </c>
      <c r="S21" s="106">
        <v>1</v>
      </c>
      <c r="T21" s="106">
        <v>3</v>
      </c>
      <c r="U21" s="106">
        <v>6.2280000000000006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9">
        <v>0</v>
      </c>
    </row>
    <row r="22" spans="1:30" x14ac:dyDescent="0.2">
      <c r="A22" s="19" t="s">
        <v>120</v>
      </c>
      <c r="B22" s="19" t="s">
        <v>142</v>
      </c>
      <c r="C22" s="20">
        <v>9043862.9800000004</v>
      </c>
      <c r="D22" s="20">
        <v>238016.65270000001</v>
      </c>
      <c r="E22" s="20">
        <v>1246288.0582999999</v>
      </c>
      <c r="F22" s="20">
        <v>0</v>
      </c>
      <c r="G22" s="20">
        <v>10528167.691</v>
      </c>
      <c r="H22" s="19" t="s">
        <v>122</v>
      </c>
      <c r="I22" s="106">
        <v>94.116</v>
      </c>
      <c r="J22" s="106">
        <v>0</v>
      </c>
      <c r="K22" s="106">
        <v>0</v>
      </c>
      <c r="L22" s="106">
        <v>42.05</v>
      </c>
      <c r="M22" s="106">
        <v>10.119999999999999</v>
      </c>
      <c r="N22" s="106">
        <v>3.83</v>
      </c>
      <c r="O22" s="106">
        <v>7.69</v>
      </c>
      <c r="P22" s="106">
        <v>-4.75</v>
      </c>
      <c r="Q22" s="106">
        <v>9.49</v>
      </c>
      <c r="R22" s="106">
        <v>1</v>
      </c>
      <c r="S22" s="106">
        <v>3</v>
      </c>
      <c r="T22" s="106">
        <v>8</v>
      </c>
      <c r="U22" s="106">
        <v>13.686000000000002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9">
        <v>0</v>
      </c>
    </row>
    <row r="23" spans="1:30" x14ac:dyDescent="0.2">
      <c r="A23" s="19" t="s">
        <v>120</v>
      </c>
      <c r="B23" s="19" t="s">
        <v>143</v>
      </c>
      <c r="C23" s="20">
        <v>138422588.83000001</v>
      </c>
      <c r="D23" s="20">
        <v>5946552.9743999997</v>
      </c>
      <c r="E23" s="20">
        <v>18875488.807100002</v>
      </c>
      <c r="F23" s="20">
        <v>3398645.9421000001</v>
      </c>
      <c r="G23" s="20">
        <v>166643276.55360001</v>
      </c>
      <c r="H23" s="19" t="s">
        <v>144</v>
      </c>
      <c r="I23" s="106">
        <v>1436.1859999999999</v>
      </c>
      <c r="J23" s="106">
        <v>25.302306666666667</v>
      </c>
      <c r="K23" s="106">
        <v>200.86</v>
      </c>
      <c r="L23" s="106">
        <v>377.7</v>
      </c>
      <c r="M23" s="106">
        <v>136.07</v>
      </c>
      <c r="N23" s="106">
        <v>80.5</v>
      </c>
      <c r="O23" s="106">
        <v>201.54</v>
      </c>
      <c r="P23" s="106">
        <v>-50.16</v>
      </c>
      <c r="Q23" s="106">
        <v>100.32</v>
      </c>
      <c r="R23" s="106">
        <v>21</v>
      </c>
      <c r="S23" s="106">
        <v>44</v>
      </c>
      <c r="T23" s="106">
        <v>115</v>
      </c>
      <c r="U23" s="106">
        <v>209.35600000000002</v>
      </c>
      <c r="V23" s="106">
        <v>1</v>
      </c>
      <c r="W23" s="106">
        <v>1</v>
      </c>
      <c r="X23" s="106">
        <v>2</v>
      </c>
      <c r="Y23" s="106">
        <v>6</v>
      </c>
      <c r="Z23" s="106">
        <v>9.5745733333333334</v>
      </c>
      <c r="AA23" s="106">
        <v>1</v>
      </c>
      <c r="AB23" s="106">
        <v>2</v>
      </c>
      <c r="AC23" s="106">
        <v>1.7277333333333333</v>
      </c>
      <c r="AD23" s="19">
        <v>1</v>
      </c>
    </row>
    <row r="24" spans="1:30" x14ac:dyDescent="0.2">
      <c r="A24" s="19" t="s">
        <v>145</v>
      </c>
      <c r="B24" s="19" t="s">
        <v>146</v>
      </c>
      <c r="C24" s="20">
        <v>8910015.2200000007</v>
      </c>
      <c r="D24" s="20">
        <v>823437.07250000001</v>
      </c>
      <c r="E24" s="20">
        <v>1542409.8521</v>
      </c>
      <c r="F24" s="20">
        <v>0</v>
      </c>
      <c r="G24" s="20">
        <v>11275862.1446</v>
      </c>
      <c r="H24" s="19" t="s">
        <v>122</v>
      </c>
      <c r="I24" s="106">
        <v>92.72399999999999</v>
      </c>
      <c r="J24" s="106">
        <v>0</v>
      </c>
      <c r="K24" s="106">
        <v>0</v>
      </c>
      <c r="L24" s="106">
        <v>34.5</v>
      </c>
      <c r="M24" s="106">
        <v>13.69</v>
      </c>
      <c r="N24" s="106">
        <v>5.5</v>
      </c>
      <c r="O24" s="106">
        <v>9.23</v>
      </c>
      <c r="P24" s="106">
        <v>-4.3499999999999996</v>
      </c>
      <c r="Q24" s="106">
        <v>8.6999999999999993</v>
      </c>
      <c r="R24" s="106">
        <v>1</v>
      </c>
      <c r="S24" s="106">
        <v>3</v>
      </c>
      <c r="T24" s="106">
        <v>8</v>
      </c>
      <c r="U24" s="106">
        <v>13.454000000000001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9">
        <v>0</v>
      </c>
    </row>
    <row r="25" spans="1:30" x14ac:dyDescent="0.2">
      <c r="A25" s="19" t="s">
        <v>145</v>
      </c>
      <c r="B25" s="19" t="s">
        <v>147</v>
      </c>
      <c r="C25" s="20">
        <v>8335222.9800000004</v>
      </c>
      <c r="D25" s="20">
        <v>240716.0404</v>
      </c>
      <c r="E25" s="20">
        <v>1158884.1843000001</v>
      </c>
      <c r="F25" s="20">
        <v>0</v>
      </c>
      <c r="G25" s="20">
        <v>9734823.2047000006</v>
      </c>
      <c r="H25" s="19" t="s">
        <v>122</v>
      </c>
      <c r="I25" s="106">
        <v>86.516000000000005</v>
      </c>
      <c r="J25" s="106">
        <v>0</v>
      </c>
      <c r="K25" s="106">
        <v>0</v>
      </c>
      <c r="L25" s="106">
        <v>0</v>
      </c>
      <c r="M25" s="106">
        <v>12.74</v>
      </c>
      <c r="N25" s="106">
        <v>12.5</v>
      </c>
      <c r="O25" s="106">
        <v>37.69</v>
      </c>
      <c r="P25" s="106">
        <v>0</v>
      </c>
      <c r="Q25" s="106">
        <v>0</v>
      </c>
      <c r="R25" s="106">
        <v>1</v>
      </c>
      <c r="S25" s="106">
        <v>3</v>
      </c>
      <c r="T25" s="106">
        <v>7</v>
      </c>
      <c r="U25" s="106">
        <v>12.586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9">
        <v>0</v>
      </c>
    </row>
    <row r="26" spans="1:30" x14ac:dyDescent="0.2">
      <c r="A26" s="19" t="s">
        <v>145</v>
      </c>
      <c r="B26" s="19" t="s">
        <v>148</v>
      </c>
      <c r="C26" s="20">
        <v>4676140.42</v>
      </c>
      <c r="D26" s="20">
        <v>543988.53330000001</v>
      </c>
      <c r="E26" s="20">
        <v>823449.30590000004</v>
      </c>
      <c r="F26" s="20">
        <v>0</v>
      </c>
      <c r="G26" s="20">
        <v>6043578.2592000002</v>
      </c>
      <c r="H26" s="19" t="s">
        <v>122</v>
      </c>
      <c r="I26" s="106">
        <v>48.564</v>
      </c>
      <c r="J26" s="106">
        <v>0</v>
      </c>
      <c r="K26" s="106">
        <v>16.3</v>
      </c>
      <c r="L26" s="106">
        <v>6.1</v>
      </c>
      <c r="M26" s="106">
        <v>4.5199999999999996</v>
      </c>
      <c r="N26" s="106">
        <v>3.17</v>
      </c>
      <c r="O26" s="106">
        <v>5.38</v>
      </c>
      <c r="P26" s="106">
        <v>0</v>
      </c>
      <c r="Q26" s="106">
        <v>0</v>
      </c>
      <c r="R26" s="106">
        <v>1</v>
      </c>
      <c r="S26" s="106">
        <v>1</v>
      </c>
      <c r="T26" s="106">
        <v>4</v>
      </c>
      <c r="U26" s="106">
        <v>7.0940000000000003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9">
        <v>0</v>
      </c>
    </row>
    <row r="27" spans="1:30" x14ac:dyDescent="0.2">
      <c r="A27" s="19" t="s">
        <v>145</v>
      </c>
      <c r="B27" s="19" t="s">
        <v>149</v>
      </c>
      <c r="C27" s="20">
        <v>10508699.52</v>
      </c>
      <c r="D27" s="20">
        <v>1275151.1236</v>
      </c>
      <c r="E27" s="20">
        <v>1907406.6125</v>
      </c>
      <c r="F27" s="20">
        <v>0</v>
      </c>
      <c r="G27" s="20">
        <v>13691257.256200001</v>
      </c>
      <c r="H27" s="19" t="s">
        <v>122</v>
      </c>
      <c r="I27" s="106">
        <v>109.184</v>
      </c>
      <c r="J27" s="106">
        <v>0</v>
      </c>
      <c r="K27" s="106">
        <v>25.25</v>
      </c>
      <c r="L27" s="106">
        <v>17.2</v>
      </c>
      <c r="M27" s="106">
        <v>5.12</v>
      </c>
      <c r="N27" s="106">
        <v>9.83</v>
      </c>
      <c r="O27" s="106">
        <v>21.92</v>
      </c>
      <c r="P27" s="106">
        <v>0</v>
      </c>
      <c r="Q27" s="106">
        <v>0</v>
      </c>
      <c r="R27" s="106">
        <v>1</v>
      </c>
      <c r="S27" s="106">
        <v>4</v>
      </c>
      <c r="T27" s="106">
        <v>9</v>
      </c>
      <c r="U27" s="106">
        <v>15.863999999999999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9">
        <v>0</v>
      </c>
    </row>
    <row r="28" spans="1:30" x14ac:dyDescent="0.2">
      <c r="A28" s="19" t="s">
        <v>145</v>
      </c>
      <c r="B28" s="19" t="s">
        <v>150</v>
      </c>
      <c r="C28" s="20">
        <v>11000413.84</v>
      </c>
      <c r="D28" s="20">
        <v>752163.33129999996</v>
      </c>
      <c r="E28" s="20">
        <v>1707352.8226999999</v>
      </c>
      <c r="F28" s="20">
        <v>0</v>
      </c>
      <c r="G28" s="20">
        <v>13459929.994000001</v>
      </c>
      <c r="H28" s="19" t="s">
        <v>122</v>
      </c>
      <c r="I28" s="106">
        <v>114.52800000000002</v>
      </c>
      <c r="J28" s="106">
        <v>0</v>
      </c>
      <c r="K28" s="106">
        <v>0</v>
      </c>
      <c r="L28" s="106">
        <v>40.299999999999997</v>
      </c>
      <c r="M28" s="106">
        <v>11.31</v>
      </c>
      <c r="N28" s="106">
        <v>7.5</v>
      </c>
      <c r="O28" s="106">
        <v>19.62</v>
      </c>
      <c r="P28" s="106">
        <v>-4.21</v>
      </c>
      <c r="Q28" s="106">
        <v>8.42</v>
      </c>
      <c r="R28" s="106">
        <v>1</v>
      </c>
      <c r="S28" s="106">
        <v>4</v>
      </c>
      <c r="T28" s="106">
        <v>10</v>
      </c>
      <c r="U28" s="106">
        <v>16.588000000000001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9">
        <v>0</v>
      </c>
    </row>
    <row r="29" spans="1:30" x14ac:dyDescent="0.2">
      <c r="A29" s="19" t="s">
        <v>145</v>
      </c>
      <c r="B29" s="19" t="s">
        <v>151</v>
      </c>
      <c r="C29" s="20">
        <v>6966156.8200000003</v>
      </c>
      <c r="D29" s="20">
        <v>656644.63089999999</v>
      </c>
      <c r="E29" s="20">
        <v>1215168.5797999999</v>
      </c>
      <c r="F29" s="20">
        <v>0</v>
      </c>
      <c r="G29" s="20">
        <v>8837970.0307</v>
      </c>
      <c r="H29" s="19" t="s">
        <v>122</v>
      </c>
      <c r="I29" s="106">
        <v>72.444000000000003</v>
      </c>
      <c r="J29" s="106">
        <v>0</v>
      </c>
      <c r="K29" s="106">
        <v>0</v>
      </c>
      <c r="L29" s="106">
        <v>26.3</v>
      </c>
      <c r="M29" s="106">
        <v>8.57</v>
      </c>
      <c r="N29" s="106">
        <v>6</v>
      </c>
      <c r="O29" s="106">
        <v>8.85</v>
      </c>
      <c r="P29" s="106">
        <v>-3.15</v>
      </c>
      <c r="Q29" s="106">
        <v>6.3</v>
      </c>
      <c r="R29" s="106">
        <v>1</v>
      </c>
      <c r="S29" s="106">
        <v>2</v>
      </c>
      <c r="T29" s="106">
        <v>6</v>
      </c>
      <c r="U29" s="106">
        <v>10.574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9">
        <v>0</v>
      </c>
    </row>
    <row r="30" spans="1:30" x14ac:dyDescent="0.2">
      <c r="A30" s="19" t="s">
        <v>145</v>
      </c>
      <c r="B30" s="19" t="s">
        <v>152</v>
      </c>
      <c r="C30" s="20">
        <v>5044221.76</v>
      </c>
      <c r="D30" s="20">
        <v>316942.78659999999</v>
      </c>
      <c r="E30" s="20">
        <v>738949.70019999996</v>
      </c>
      <c r="F30" s="20">
        <v>0</v>
      </c>
      <c r="G30" s="20">
        <v>6100114.2467999998</v>
      </c>
      <c r="H30" s="19" t="s">
        <v>122</v>
      </c>
      <c r="I30" s="106">
        <v>52.391999999999996</v>
      </c>
      <c r="J30" s="106">
        <v>0</v>
      </c>
      <c r="K30" s="106">
        <v>12.59</v>
      </c>
      <c r="L30" s="106">
        <v>4.5</v>
      </c>
      <c r="M30" s="106">
        <v>5.12</v>
      </c>
      <c r="N30" s="106">
        <v>1.83</v>
      </c>
      <c r="O30" s="106">
        <v>14.62</v>
      </c>
      <c r="P30" s="106">
        <v>0</v>
      </c>
      <c r="Q30" s="106">
        <v>0</v>
      </c>
      <c r="R30" s="106">
        <v>1</v>
      </c>
      <c r="S30" s="106">
        <v>1</v>
      </c>
      <c r="T30" s="106">
        <v>4</v>
      </c>
      <c r="U30" s="106">
        <v>7.7319999999999993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9">
        <v>0</v>
      </c>
    </row>
    <row r="31" spans="1:30" x14ac:dyDescent="0.2">
      <c r="A31" s="19" t="s">
        <v>145</v>
      </c>
      <c r="B31" s="19" t="s">
        <v>153</v>
      </c>
      <c r="C31" s="20">
        <v>5604432.0599999996</v>
      </c>
      <c r="D31" s="20">
        <v>343391.83299999998</v>
      </c>
      <c r="E31" s="20">
        <v>778603.50899999996</v>
      </c>
      <c r="F31" s="20">
        <v>0</v>
      </c>
      <c r="G31" s="20">
        <v>6726427.4019999998</v>
      </c>
      <c r="H31" s="19" t="s">
        <v>122</v>
      </c>
      <c r="I31" s="106">
        <v>58.052000000000007</v>
      </c>
      <c r="J31" s="106">
        <v>0</v>
      </c>
      <c r="K31" s="106">
        <v>17.78</v>
      </c>
      <c r="L31" s="106">
        <v>6.35</v>
      </c>
      <c r="M31" s="106">
        <v>4.5199999999999996</v>
      </c>
      <c r="N31" s="106">
        <v>3.83</v>
      </c>
      <c r="O31" s="106">
        <v>9.23</v>
      </c>
      <c r="P31" s="106">
        <v>0</v>
      </c>
      <c r="Q31" s="106">
        <v>0</v>
      </c>
      <c r="R31" s="106">
        <v>1</v>
      </c>
      <c r="S31" s="106">
        <v>2</v>
      </c>
      <c r="T31" s="106">
        <v>5</v>
      </c>
      <c r="U31" s="106">
        <v>8.3420000000000005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9">
        <v>0</v>
      </c>
    </row>
    <row r="32" spans="1:30" x14ac:dyDescent="0.2">
      <c r="A32" s="19" t="s">
        <v>145</v>
      </c>
      <c r="B32" s="19" t="s">
        <v>154</v>
      </c>
      <c r="C32" s="20">
        <v>5748664.5599999996</v>
      </c>
      <c r="D32" s="20">
        <v>545127.72450000001</v>
      </c>
      <c r="E32" s="20">
        <v>963762.7831</v>
      </c>
      <c r="F32" s="20">
        <v>0</v>
      </c>
      <c r="G32" s="20">
        <v>7257555.0675999997</v>
      </c>
      <c r="H32" s="19" t="s">
        <v>122</v>
      </c>
      <c r="I32" s="106">
        <v>59.551999999999992</v>
      </c>
      <c r="J32" s="106">
        <v>0</v>
      </c>
      <c r="K32" s="106">
        <v>9.69</v>
      </c>
      <c r="L32" s="106">
        <v>3.6</v>
      </c>
      <c r="M32" s="106">
        <v>3.69</v>
      </c>
      <c r="N32" s="106">
        <v>3.67</v>
      </c>
      <c r="O32" s="106">
        <v>22.31</v>
      </c>
      <c r="P32" s="106">
        <v>0</v>
      </c>
      <c r="Q32" s="106">
        <v>0</v>
      </c>
      <c r="R32" s="106">
        <v>1</v>
      </c>
      <c r="S32" s="106">
        <v>2</v>
      </c>
      <c r="T32" s="106">
        <v>5</v>
      </c>
      <c r="U32" s="106">
        <v>8.5920000000000005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9">
        <v>0</v>
      </c>
    </row>
    <row r="33" spans="1:30" x14ac:dyDescent="0.2">
      <c r="A33" s="19" t="s">
        <v>145</v>
      </c>
      <c r="B33" s="19" t="s">
        <v>155</v>
      </c>
      <c r="C33" s="20">
        <v>5006144.38</v>
      </c>
      <c r="D33" s="20">
        <v>358969.03350000002</v>
      </c>
      <c r="E33" s="20">
        <v>734650.08510000003</v>
      </c>
      <c r="F33" s="20">
        <v>0</v>
      </c>
      <c r="G33" s="20">
        <v>6099763.4987000003</v>
      </c>
      <c r="H33" s="19" t="s">
        <v>122</v>
      </c>
      <c r="I33" s="106">
        <v>51.995999999999995</v>
      </c>
      <c r="J33" s="106">
        <v>0</v>
      </c>
      <c r="K33" s="106">
        <v>19.010000000000002</v>
      </c>
      <c r="L33" s="106">
        <v>7.05</v>
      </c>
      <c r="M33" s="106">
        <v>4.5199999999999996</v>
      </c>
      <c r="N33" s="106">
        <v>4.67</v>
      </c>
      <c r="O33" s="106">
        <v>3.08</v>
      </c>
      <c r="P33" s="106">
        <v>0</v>
      </c>
      <c r="Q33" s="106">
        <v>0</v>
      </c>
      <c r="R33" s="106">
        <v>1</v>
      </c>
      <c r="S33" s="106">
        <v>1</v>
      </c>
      <c r="T33" s="106">
        <v>4</v>
      </c>
      <c r="U33" s="106">
        <v>7.6660000000000004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9">
        <v>0</v>
      </c>
    </row>
    <row r="34" spans="1:30" x14ac:dyDescent="0.2">
      <c r="A34" s="19" t="s">
        <v>145</v>
      </c>
      <c r="B34" s="19" t="s">
        <v>156</v>
      </c>
      <c r="C34" s="20">
        <v>4948451.38</v>
      </c>
      <c r="D34" s="20">
        <v>346140.75069999998</v>
      </c>
      <c r="E34" s="20">
        <v>735169.28390000004</v>
      </c>
      <c r="F34" s="20">
        <v>0</v>
      </c>
      <c r="G34" s="20">
        <v>6029761.4146999996</v>
      </c>
      <c r="H34" s="19" t="s">
        <v>122</v>
      </c>
      <c r="I34" s="106">
        <v>51.396000000000001</v>
      </c>
      <c r="J34" s="106">
        <v>0</v>
      </c>
      <c r="K34" s="106">
        <v>15.93</v>
      </c>
      <c r="L34" s="106">
        <v>5.35</v>
      </c>
      <c r="M34" s="106">
        <v>5.36</v>
      </c>
      <c r="N34" s="106">
        <v>3.5</v>
      </c>
      <c r="O34" s="106">
        <v>7.69</v>
      </c>
      <c r="P34" s="106">
        <v>0</v>
      </c>
      <c r="Q34" s="106">
        <v>0</v>
      </c>
      <c r="R34" s="106">
        <v>1</v>
      </c>
      <c r="S34" s="106">
        <v>1</v>
      </c>
      <c r="T34" s="106">
        <v>4</v>
      </c>
      <c r="U34" s="106">
        <v>7.5659999999999998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9">
        <v>0</v>
      </c>
    </row>
    <row r="35" spans="1:30" x14ac:dyDescent="0.2">
      <c r="A35" s="19" t="s">
        <v>145</v>
      </c>
      <c r="B35" s="19" t="s">
        <v>157</v>
      </c>
      <c r="C35" s="20">
        <v>4828449.9400000004</v>
      </c>
      <c r="D35" s="20">
        <v>463923.2084</v>
      </c>
      <c r="E35" s="20">
        <v>803671.07640000002</v>
      </c>
      <c r="F35" s="20">
        <v>0</v>
      </c>
      <c r="G35" s="20">
        <v>6096044.2247000001</v>
      </c>
      <c r="H35" s="19" t="s">
        <v>122</v>
      </c>
      <c r="I35" s="106">
        <v>50.147999999999996</v>
      </c>
      <c r="J35" s="106">
        <v>0</v>
      </c>
      <c r="K35" s="106">
        <v>11.79</v>
      </c>
      <c r="L35" s="106">
        <v>5.05</v>
      </c>
      <c r="M35" s="106">
        <v>3.33</v>
      </c>
      <c r="N35" s="106">
        <v>2</v>
      </c>
      <c r="O35" s="106">
        <v>14.62</v>
      </c>
      <c r="P35" s="106">
        <v>0</v>
      </c>
      <c r="Q35" s="106">
        <v>0</v>
      </c>
      <c r="R35" s="106">
        <v>1</v>
      </c>
      <c r="S35" s="106">
        <v>1</v>
      </c>
      <c r="T35" s="106">
        <v>4</v>
      </c>
      <c r="U35" s="106">
        <v>7.3580000000000005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9">
        <v>0</v>
      </c>
    </row>
    <row r="36" spans="1:30" x14ac:dyDescent="0.2">
      <c r="A36" s="19" t="s">
        <v>145</v>
      </c>
      <c r="B36" s="19" t="s">
        <v>158</v>
      </c>
      <c r="C36" s="20">
        <v>6969618.4000000004</v>
      </c>
      <c r="D36" s="20">
        <v>719027.72820000001</v>
      </c>
      <c r="E36" s="20">
        <v>1170760.8570000001</v>
      </c>
      <c r="F36" s="20">
        <v>0</v>
      </c>
      <c r="G36" s="20">
        <v>8859406.9852000009</v>
      </c>
      <c r="H36" s="19" t="s">
        <v>122</v>
      </c>
      <c r="I36" s="106">
        <v>72.48</v>
      </c>
      <c r="J36" s="106">
        <v>0</v>
      </c>
      <c r="K36" s="106">
        <v>25.99</v>
      </c>
      <c r="L36" s="106">
        <v>5.8</v>
      </c>
      <c r="M36" s="106">
        <v>5.24</v>
      </c>
      <c r="N36" s="106">
        <v>9.33</v>
      </c>
      <c r="O36" s="106">
        <v>6.54</v>
      </c>
      <c r="P36" s="106">
        <v>0</v>
      </c>
      <c r="Q36" s="106">
        <v>0</v>
      </c>
      <c r="R36" s="106">
        <v>1</v>
      </c>
      <c r="S36" s="106">
        <v>2</v>
      </c>
      <c r="T36" s="106">
        <v>6</v>
      </c>
      <c r="U36" s="106">
        <v>10.58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9">
        <v>0</v>
      </c>
    </row>
    <row r="37" spans="1:30" x14ac:dyDescent="0.2">
      <c r="A37" s="19" t="s">
        <v>145</v>
      </c>
      <c r="B37" s="19" t="s">
        <v>159</v>
      </c>
      <c r="C37" s="20">
        <v>10549084.619999999</v>
      </c>
      <c r="D37" s="20">
        <v>894661.28359999997</v>
      </c>
      <c r="E37" s="20">
        <v>1765697.7885</v>
      </c>
      <c r="F37" s="20">
        <v>0</v>
      </c>
      <c r="G37" s="20">
        <v>13209443.6921</v>
      </c>
      <c r="H37" s="19" t="s">
        <v>122</v>
      </c>
      <c r="I37" s="106">
        <v>109.60399999999998</v>
      </c>
      <c r="J37" s="106">
        <v>0</v>
      </c>
      <c r="K37" s="106">
        <v>0</v>
      </c>
      <c r="L37" s="106">
        <v>41.45</v>
      </c>
      <c r="M37" s="106">
        <v>14.4</v>
      </c>
      <c r="N37" s="106">
        <v>5.33</v>
      </c>
      <c r="O37" s="106">
        <v>14.23</v>
      </c>
      <c r="P37" s="106">
        <v>-4.26</v>
      </c>
      <c r="Q37" s="106">
        <v>8.52</v>
      </c>
      <c r="R37" s="106">
        <v>1</v>
      </c>
      <c r="S37" s="106">
        <v>4</v>
      </c>
      <c r="T37" s="106">
        <v>9</v>
      </c>
      <c r="U37" s="106">
        <v>15.934000000000001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9">
        <v>0</v>
      </c>
    </row>
    <row r="38" spans="1:30" x14ac:dyDescent="0.2">
      <c r="A38" s="19" t="s">
        <v>145</v>
      </c>
      <c r="B38" s="19" t="s">
        <v>160</v>
      </c>
      <c r="C38" s="20">
        <v>8515225.1400000006</v>
      </c>
      <c r="D38" s="20">
        <v>658254.35750000004</v>
      </c>
      <c r="E38" s="20">
        <v>1414459.7964000001</v>
      </c>
      <c r="F38" s="20">
        <v>0</v>
      </c>
      <c r="G38" s="20">
        <v>10587939.2939</v>
      </c>
      <c r="H38" s="19" t="s">
        <v>122</v>
      </c>
      <c r="I38" s="106">
        <v>88.388000000000005</v>
      </c>
      <c r="J38" s="106">
        <v>0</v>
      </c>
      <c r="K38" s="106">
        <v>0</v>
      </c>
      <c r="L38" s="106">
        <v>29.8</v>
      </c>
      <c r="M38" s="106">
        <v>13.69</v>
      </c>
      <c r="N38" s="106">
        <v>2.83</v>
      </c>
      <c r="O38" s="106">
        <v>15.38</v>
      </c>
      <c r="P38" s="106">
        <v>-2.79</v>
      </c>
      <c r="Q38" s="106">
        <v>5.58</v>
      </c>
      <c r="R38" s="106">
        <v>1</v>
      </c>
      <c r="S38" s="106">
        <v>3</v>
      </c>
      <c r="T38" s="106">
        <v>7</v>
      </c>
      <c r="U38" s="106">
        <v>12.898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9">
        <v>0</v>
      </c>
    </row>
    <row r="39" spans="1:30" x14ac:dyDescent="0.2">
      <c r="A39" s="19" t="s">
        <v>145</v>
      </c>
      <c r="B39" s="19" t="s">
        <v>161</v>
      </c>
      <c r="C39" s="20">
        <v>9360020.6199999992</v>
      </c>
      <c r="D39" s="20">
        <v>944265.62809999997</v>
      </c>
      <c r="E39" s="20">
        <v>1683193.8533000001</v>
      </c>
      <c r="F39" s="20">
        <v>0</v>
      </c>
      <c r="G39" s="20">
        <v>11987480.101399999</v>
      </c>
      <c r="H39" s="19" t="s">
        <v>122</v>
      </c>
      <c r="I39" s="106">
        <v>97.403999999999996</v>
      </c>
      <c r="J39" s="106">
        <v>0</v>
      </c>
      <c r="K39" s="106">
        <v>0</v>
      </c>
      <c r="L39" s="106">
        <v>36.25</v>
      </c>
      <c r="M39" s="106">
        <v>10.36</v>
      </c>
      <c r="N39" s="106">
        <v>9</v>
      </c>
      <c r="O39" s="106">
        <v>10.77</v>
      </c>
      <c r="P39" s="106">
        <v>-4.79</v>
      </c>
      <c r="Q39" s="106">
        <v>9.58</v>
      </c>
      <c r="R39" s="106">
        <v>1</v>
      </c>
      <c r="S39" s="106">
        <v>3</v>
      </c>
      <c r="T39" s="106">
        <v>8</v>
      </c>
      <c r="U39" s="106">
        <v>14.234000000000002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9">
        <v>0</v>
      </c>
    </row>
    <row r="40" spans="1:30" x14ac:dyDescent="0.2">
      <c r="A40" s="19" t="s">
        <v>145</v>
      </c>
      <c r="B40" s="19" t="s">
        <v>162</v>
      </c>
      <c r="C40" s="20">
        <v>116970000.11</v>
      </c>
      <c r="D40" s="20">
        <v>9882805.0659999996</v>
      </c>
      <c r="E40" s="20">
        <v>19143590.090399999</v>
      </c>
      <c r="F40" s="20">
        <v>3060710.6601</v>
      </c>
      <c r="G40" s="20">
        <v>149057105.92649999</v>
      </c>
      <c r="H40" s="19" t="s">
        <v>144</v>
      </c>
      <c r="I40" s="106">
        <v>1215.3620000000001</v>
      </c>
      <c r="J40" s="106">
        <v>22.445080000000001</v>
      </c>
      <c r="K40" s="106">
        <v>154.32</v>
      </c>
      <c r="L40" s="106">
        <v>269.60000000000002</v>
      </c>
      <c r="M40" s="106">
        <v>126.19</v>
      </c>
      <c r="N40" s="106">
        <v>90.5</v>
      </c>
      <c r="O40" s="106">
        <v>221.15</v>
      </c>
      <c r="P40" s="106">
        <v>-23.55</v>
      </c>
      <c r="Q40" s="106">
        <v>47.09</v>
      </c>
      <c r="R40" s="106">
        <v>16</v>
      </c>
      <c r="S40" s="106">
        <v>37</v>
      </c>
      <c r="T40" s="106">
        <v>100</v>
      </c>
      <c r="U40" s="106">
        <v>177.06200000000001</v>
      </c>
      <c r="V40" s="106">
        <v>1</v>
      </c>
      <c r="W40" s="106">
        <v>1</v>
      </c>
      <c r="X40" s="106">
        <v>2</v>
      </c>
      <c r="Y40" s="106">
        <v>6</v>
      </c>
      <c r="Z40" s="106">
        <v>8.1024133333333346</v>
      </c>
      <c r="AA40" s="106">
        <v>1</v>
      </c>
      <c r="AB40" s="106">
        <v>1</v>
      </c>
      <c r="AC40" s="106">
        <v>1.3426666666666667</v>
      </c>
      <c r="AD40" s="19">
        <v>1</v>
      </c>
    </row>
    <row r="41" spans="1:30" x14ac:dyDescent="0.2">
      <c r="A41" s="19" t="s">
        <v>163</v>
      </c>
      <c r="B41" s="19" t="s">
        <v>164</v>
      </c>
      <c r="C41" s="20">
        <v>4408444.9000000004</v>
      </c>
      <c r="D41" s="20">
        <v>385839.08539999998</v>
      </c>
      <c r="E41" s="20">
        <v>666067.1679</v>
      </c>
      <c r="F41" s="20">
        <v>0</v>
      </c>
      <c r="G41" s="20">
        <v>5460351.1533000004</v>
      </c>
      <c r="H41" s="19" t="s">
        <v>122</v>
      </c>
      <c r="I41" s="106">
        <v>45.78</v>
      </c>
      <c r="J41" s="106">
        <v>0</v>
      </c>
      <c r="K41" s="106">
        <v>16.79</v>
      </c>
      <c r="L41" s="106">
        <v>10.7</v>
      </c>
      <c r="M41" s="106">
        <v>3.45</v>
      </c>
      <c r="N41" s="106">
        <v>0.67</v>
      </c>
      <c r="O41" s="106">
        <v>1.54</v>
      </c>
      <c r="P41" s="106">
        <v>0</v>
      </c>
      <c r="Q41" s="106">
        <v>0</v>
      </c>
      <c r="R41" s="106">
        <v>1</v>
      </c>
      <c r="S41" s="106">
        <v>1</v>
      </c>
      <c r="T41" s="106">
        <v>4</v>
      </c>
      <c r="U41" s="106">
        <v>6.63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9">
        <v>0</v>
      </c>
    </row>
    <row r="42" spans="1:30" x14ac:dyDescent="0.2">
      <c r="A42" s="19" t="s">
        <v>163</v>
      </c>
      <c r="B42" s="19" t="s">
        <v>165</v>
      </c>
      <c r="C42" s="20">
        <v>20138634.420000002</v>
      </c>
      <c r="D42" s="20">
        <v>1920230.4879000001</v>
      </c>
      <c r="E42" s="20">
        <v>3511244.1732999999</v>
      </c>
      <c r="F42" s="20">
        <v>0</v>
      </c>
      <c r="G42" s="20">
        <v>25570109.081300002</v>
      </c>
      <c r="H42" s="19" t="s">
        <v>122</v>
      </c>
      <c r="I42" s="106">
        <v>208.96399999999997</v>
      </c>
      <c r="J42" s="106">
        <v>0</v>
      </c>
      <c r="K42" s="106">
        <v>0</v>
      </c>
      <c r="L42" s="106">
        <v>95.85</v>
      </c>
      <c r="M42" s="106">
        <v>30.6</v>
      </c>
      <c r="N42" s="106">
        <v>10.67</v>
      </c>
      <c r="O42" s="106">
        <v>6.92</v>
      </c>
      <c r="P42" s="106">
        <v>-8.44</v>
      </c>
      <c r="Q42" s="106">
        <v>16.87</v>
      </c>
      <c r="R42" s="106">
        <v>1</v>
      </c>
      <c r="S42" s="106">
        <v>9</v>
      </c>
      <c r="T42" s="106">
        <v>16</v>
      </c>
      <c r="U42" s="106">
        <v>30.494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9">
        <v>0</v>
      </c>
    </row>
    <row r="43" spans="1:30" x14ac:dyDescent="0.2">
      <c r="A43" s="19" t="s">
        <v>163</v>
      </c>
      <c r="B43" s="19" t="s">
        <v>166</v>
      </c>
      <c r="C43" s="20">
        <v>4440752.9800000004</v>
      </c>
      <c r="D43" s="20">
        <v>603919.89320000005</v>
      </c>
      <c r="E43" s="20">
        <v>849019.84710000001</v>
      </c>
      <c r="F43" s="20">
        <v>0</v>
      </c>
      <c r="G43" s="20">
        <v>5893692.7203000002</v>
      </c>
      <c r="H43" s="19" t="s">
        <v>122</v>
      </c>
      <c r="I43" s="106">
        <v>46.116</v>
      </c>
      <c r="J43" s="106">
        <v>0</v>
      </c>
      <c r="K43" s="106">
        <v>12.53</v>
      </c>
      <c r="L43" s="106">
        <v>10.35</v>
      </c>
      <c r="M43" s="106">
        <v>6.9</v>
      </c>
      <c r="N43" s="106">
        <v>2.5</v>
      </c>
      <c r="O43" s="106">
        <v>1.1499999999999999</v>
      </c>
      <c r="P43" s="106">
        <v>0</v>
      </c>
      <c r="Q43" s="106">
        <v>0</v>
      </c>
      <c r="R43" s="106">
        <v>1</v>
      </c>
      <c r="S43" s="106">
        <v>1</v>
      </c>
      <c r="T43" s="106">
        <v>4</v>
      </c>
      <c r="U43" s="106">
        <v>6.6859999999999999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9">
        <v>0</v>
      </c>
    </row>
    <row r="44" spans="1:30" x14ac:dyDescent="0.2">
      <c r="A44" s="19" t="s">
        <v>163</v>
      </c>
      <c r="B44" s="19" t="s">
        <v>167</v>
      </c>
      <c r="C44" s="20">
        <v>7456547.3200000003</v>
      </c>
      <c r="D44" s="20">
        <v>721826.17599999998</v>
      </c>
      <c r="E44" s="20">
        <v>1329392.3171000001</v>
      </c>
      <c r="F44" s="20">
        <v>0</v>
      </c>
      <c r="G44" s="20">
        <v>9507765.8131000008</v>
      </c>
      <c r="H44" s="19" t="s">
        <v>122</v>
      </c>
      <c r="I44" s="106">
        <v>77.544000000000011</v>
      </c>
      <c r="J44" s="106">
        <v>0</v>
      </c>
      <c r="K44" s="106">
        <v>0</v>
      </c>
      <c r="L44" s="106">
        <v>29.05</v>
      </c>
      <c r="M44" s="106">
        <v>9.2899999999999991</v>
      </c>
      <c r="N44" s="106">
        <v>2.67</v>
      </c>
      <c r="O44" s="106">
        <v>14.23</v>
      </c>
      <c r="P44" s="106">
        <v>-1.88</v>
      </c>
      <c r="Q44" s="106">
        <v>3.76</v>
      </c>
      <c r="R44" s="106">
        <v>1</v>
      </c>
      <c r="S44" s="106">
        <v>2</v>
      </c>
      <c r="T44" s="106">
        <v>6</v>
      </c>
      <c r="U44" s="106">
        <v>11.423999999999999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9">
        <v>0</v>
      </c>
    </row>
    <row r="45" spans="1:30" x14ac:dyDescent="0.2">
      <c r="A45" s="19" t="s">
        <v>163</v>
      </c>
      <c r="B45" s="19" t="s">
        <v>168</v>
      </c>
      <c r="C45" s="20">
        <v>7462316.6200000001</v>
      </c>
      <c r="D45" s="20">
        <v>764694.4338</v>
      </c>
      <c r="E45" s="20">
        <v>1374286.7888</v>
      </c>
      <c r="F45" s="20">
        <v>0</v>
      </c>
      <c r="G45" s="20">
        <v>9601297.8425999992</v>
      </c>
      <c r="H45" s="19" t="s">
        <v>122</v>
      </c>
      <c r="I45" s="106">
        <v>77.603999999999985</v>
      </c>
      <c r="J45" s="106">
        <v>0</v>
      </c>
      <c r="K45" s="106">
        <v>0</v>
      </c>
      <c r="L45" s="106">
        <v>29.65</v>
      </c>
      <c r="M45" s="106">
        <v>11.19</v>
      </c>
      <c r="N45" s="106">
        <v>7.67</v>
      </c>
      <c r="O45" s="106">
        <v>6.54</v>
      </c>
      <c r="P45" s="106">
        <v>-2.13</v>
      </c>
      <c r="Q45" s="106">
        <v>4.25</v>
      </c>
      <c r="R45" s="106">
        <v>1</v>
      </c>
      <c r="S45" s="106">
        <v>2</v>
      </c>
      <c r="T45" s="106">
        <v>6</v>
      </c>
      <c r="U45" s="106">
        <v>11.434000000000001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9">
        <v>0</v>
      </c>
    </row>
    <row r="46" spans="1:30" x14ac:dyDescent="0.2">
      <c r="A46" s="19" t="s">
        <v>163</v>
      </c>
      <c r="B46" s="19" t="s">
        <v>169</v>
      </c>
      <c r="C46" s="20">
        <v>4389983.1399999997</v>
      </c>
      <c r="D46" s="20">
        <v>501417.4558</v>
      </c>
      <c r="E46" s="20">
        <v>715439.72930000001</v>
      </c>
      <c r="F46" s="20">
        <v>0</v>
      </c>
      <c r="G46" s="20">
        <v>5606840.3251</v>
      </c>
      <c r="H46" s="19" t="s">
        <v>122</v>
      </c>
      <c r="I46" s="106">
        <v>45.588000000000001</v>
      </c>
      <c r="J46" s="106">
        <v>0</v>
      </c>
      <c r="K46" s="106">
        <v>26.3</v>
      </c>
      <c r="L46" s="106">
        <v>0</v>
      </c>
      <c r="M46" s="106">
        <v>0.48</v>
      </c>
      <c r="N46" s="106">
        <v>4.67</v>
      </c>
      <c r="O46" s="106">
        <v>1.54</v>
      </c>
      <c r="P46" s="106">
        <v>0</v>
      </c>
      <c r="Q46" s="106">
        <v>0</v>
      </c>
      <c r="R46" s="106">
        <v>1</v>
      </c>
      <c r="S46" s="106">
        <v>1</v>
      </c>
      <c r="T46" s="106">
        <v>4</v>
      </c>
      <c r="U46" s="106">
        <v>6.5980000000000008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9">
        <v>0</v>
      </c>
    </row>
    <row r="47" spans="1:30" x14ac:dyDescent="0.2">
      <c r="A47" s="19" t="s">
        <v>163</v>
      </c>
      <c r="B47" s="19" t="s">
        <v>170</v>
      </c>
      <c r="C47" s="20">
        <v>16520299.23</v>
      </c>
      <c r="D47" s="20">
        <v>338562.6532</v>
      </c>
      <c r="E47" s="20">
        <v>2308763.5142999999</v>
      </c>
      <c r="F47" s="20">
        <v>0</v>
      </c>
      <c r="G47" s="20">
        <v>19167625.397500001</v>
      </c>
      <c r="H47" s="19" t="s">
        <v>122</v>
      </c>
      <c r="I47" s="106">
        <v>171.66600000000003</v>
      </c>
      <c r="J47" s="106">
        <v>0</v>
      </c>
      <c r="K47" s="106">
        <v>4.6900000000000004</v>
      </c>
      <c r="L47" s="106">
        <v>2.65</v>
      </c>
      <c r="M47" s="106">
        <v>3.45</v>
      </c>
      <c r="N47" s="106">
        <v>0.83</v>
      </c>
      <c r="O47" s="106">
        <v>111.15</v>
      </c>
      <c r="P47" s="106">
        <v>-1.95</v>
      </c>
      <c r="Q47" s="106">
        <v>3.9</v>
      </c>
      <c r="R47" s="106">
        <v>1</v>
      </c>
      <c r="S47" s="106">
        <v>7</v>
      </c>
      <c r="T47" s="106">
        <v>14</v>
      </c>
      <c r="U47" s="106">
        <v>24.946000000000002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9">
        <v>0</v>
      </c>
    </row>
    <row r="48" spans="1:30" x14ac:dyDescent="0.2">
      <c r="A48" s="19" t="s">
        <v>163</v>
      </c>
      <c r="B48" s="19" t="s">
        <v>171</v>
      </c>
      <c r="C48" s="20">
        <v>4140579.42</v>
      </c>
      <c r="D48" s="20">
        <v>387869.8174</v>
      </c>
      <c r="E48" s="20">
        <v>724249.88410000002</v>
      </c>
      <c r="F48" s="20">
        <v>0</v>
      </c>
      <c r="G48" s="20">
        <v>5252699.1215000004</v>
      </c>
      <c r="H48" s="19" t="s">
        <v>122</v>
      </c>
      <c r="I48" s="106">
        <v>42.763999999999996</v>
      </c>
      <c r="J48" s="106">
        <v>0</v>
      </c>
      <c r="K48" s="106">
        <v>0</v>
      </c>
      <c r="L48" s="106">
        <v>19.7</v>
      </c>
      <c r="M48" s="106">
        <v>7.26</v>
      </c>
      <c r="N48" s="106">
        <v>2</v>
      </c>
      <c r="O48" s="106">
        <v>1.54</v>
      </c>
      <c r="P48" s="106">
        <v>-0.97</v>
      </c>
      <c r="Q48" s="106">
        <v>1.94</v>
      </c>
      <c r="R48" s="106">
        <v>1</v>
      </c>
      <c r="S48" s="106">
        <v>1</v>
      </c>
      <c r="T48" s="106">
        <v>3</v>
      </c>
      <c r="U48" s="106">
        <v>6.2940000000000005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9">
        <v>0</v>
      </c>
    </row>
    <row r="49" spans="1:30" x14ac:dyDescent="0.2">
      <c r="A49" s="19" t="s">
        <v>163</v>
      </c>
      <c r="B49" s="19" t="s">
        <v>172</v>
      </c>
      <c r="C49" s="20">
        <v>4079424.84</v>
      </c>
      <c r="D49" s="20">
        <v>464468.03889999999</v>
      </c>
      <c r="E49" s="20">
        <v>705347.80249999999</v>
      </c>
      <c r="F49" s="20">
        <v>0</v>
      </c>
      <c r="G49" s="20">
        <v>5249240.6814999999</v>
      </c>
      <c r="H49" s="19" t="s">
        <v>122</v>
      </c>
      <c r="I49" s="106">
        <v>42.128</v>
      </c>
      <c r="J49" s="106">
        <v>0</v>
      </c>
      <c r="K49" s="106">
        <v>14.69</v>
      </c>
      <c r="L49" s="106">
        <v>8.65</v>
      </c>
      <c r="M49" s="106">
        <v>4.05</v>
      </c>
      <c r="N49" s="106">
        <v>3.17</v>
      </c>
      <c r="O49" s="106">
        <v>0.38</v>
      </c>
      <c r="P49" s="106">
        <v>0</v>
      </c>
      <c r="Q49" s="106">
        <v>0</v>
      </c>
      <c r="R49" s="106">
        <v>1</v>
      </c>
      <c r="S49" s="106">
        <v>1</v>
      </c>
      <c r="T49" s="106">
        <v>3</v>
      </c>
      <c r="U49" s="106">
        <v>6.1880000000000006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9">
        <v>0</v>
      </c>
    </row>
    <row r="50" spans="1:30" x14ac:dyDescent="0.2">
      <c r="A50" s="19" t="s">
        <v>163</v>
      </c>
      <c r="B50" s="19" t="s">
        <v>173</v>
      </c>
      <c r="C50" s="20">
        <v>4085194.14</v>
      </c>
      <c r="D50" s="20">
        <v>538193.51749999996</v>
      </c>
      <c r="E50" s="20">
        <v>801642.95600000001</v>
      </c>
      <c r="F50" s="20">
        <v>0</v>
      </c>
      <c r="G50" s="20">
        <v>5425030.6135999998</v>
      </c>
      <c r="H50" s="19" t="s">
        <v>122</v>
      </c>
      <c r="I50" s="106">
        <v>42.187999999999995</v>
      </c>
      <c r="J50" s="106">
        <v>0</v>
      </c>
      <c r="K50" s="106">
        <v>9.44</v>
      </c>
      <c r="L50" s="106">
        <v>5.45</v>
      </c>
      <c r="M50" s="106">
        <v>5</v>
      </c>
      <c r="N50" s="106">
        <v>10.33</v>
      </c>
      <c r="O50" s="106">
        <v>0.77</v>
      </c>
      <c r="P50" s="106">
        <v>0</v>
      </c>
      <c r="Q50" s="106">
        <v>0</v>
      </c>
      <c r="R50" s="106">
        <v>1</v>
      </c>
      <c r="S50" s="106">
        <v>1</v>
      </c>
      <c r="T50" s="106">
        <v>3</v>
      </c>
      <c r="U50" s="106">
        <v>6.1980000000000004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9">
        <v>0</v>
      </c>
    </row>
    <row r="51" spans="1:30" x14ac:dyDescent="0.2">
      <c r="A51" s="19" t="s">
        <v>163</v>
      </c>
      <c r="B51" s="19" t="s">
        <v>174</v>
      </c>
      <c r="C51" s="20">
        <v>3976731.3</v>
      </c>
      <c r="D51" s="20">
        <v>430143.71460000001</v>
      </c>
      <c r="E51" s="20">
        <v>671891.92949999997</v>
      </c>
      <c r="F51" s="20">
        <v>0</v>
      </c>
      <c r="G51" s="20">
        <v>5078766.9441</v>
      </c>
      <c r="H51" s="19" t="s">
        <v>122</v>
      </c>
      <c r="I51" s="106">
        <v>41.06</v>
      </c>
      <c r="J51" s="106">
        <v>0</v>
      </c>
      <c r="K51" s="106">
        <v>13.7</v>
      </c>
      <c r="L51" s="106">
        <v>8.15</v>
      </c>
      <c r="M51" s="106">
        <v>3.45</v>
      </c>
      <c r="N51" s="106">
        <v>2.83</v>
      </c>
      <c r="O51" s="106">
        <v>1.92</v>
      </c>
      <c r="P51" s="106">
        <v>0</v>
      </c>
      <c r="Q51" s="106">
        <v>0</v>
      </c>
      <c r="R51" s="106">
        <v>1</v>
      </c>
      <c r="S51" s="106">
        <v>1</v>
      </c>
      <c r="T51" s="106">
        <v>3</v>
      </c>
      <c r="U51" s="106">
        <v>6.0100000000000007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9">
        <v>0</v>
      </c>
    </row>
    <row r="52" spans="1:30" x14ac:dyDescent="0.2">
      <c r="A52" s="19" t="s">
        <v>163</v>
      </c>
      <c r="B52" s="19" t="s">
        <v>175</v>
      </c>
      <c r="C52" s="20">
        <v>4550369.68</v>
      </c>
      <c r="D52" s="20">
        <v>720736.51489999995</v>
      </c>
      <c r="E52" s="20">
        <v>923638.45039999997</v>
      </c>
      <c r="F52" s="20">
        <v>0</v>
      </c>
      <c r="G52" s="20">
        <v>6194744.6453</v>
      </c>
      <c r="H52" s="19" t="s">
        <v>122</v>
      </c>
      <c r="I52" s="106">
        <v>47.256</v>
      </c>
      <c r="J52" s="106">
        <v>0</v>
      </c>
      <c r="K52" s="106">
        <v>15.8</v>
      </c>
      <c r="L52" s="106">
        <v>8.1999999999999993</v>
      </c>
      <c r="M52" s="106">
        <v>4.17</v>
      </c>
      <c r="N52" s="106">
        <v>4.67</v>
      </c>
      <c r="O52" s="106">
        <v>1.54</v>
      </c>
      <c r="P52" s="106">
        <v>0</v>
      </c>
      <c r="Q52" s="106">
        <v>0</v>
      </c>
      <c r="R52" s="106">
        <v>1</v>
      </c>
      <c r="S52" s="106">
        <v>1</v>
      </c>
      <c r="T52" s="106">
        <v>4</v>
      </c>
      <c r="U52" s="106">
        <v>6.8760000000000012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9">
        <v>0</v>
      </c>
    </row>
    <row r="53" spans="1:30" x14ac:dyDescent="0.2">
      <c r="A53" s="19" t="s">
        <v>163</v>
      </c>
      <c r="B53" s="19" t="s">
        <v>176</v>
      </c>
      <c r="C53" s="20">
        <v>85683893.790000007</v>
      </c>
      <c r="D53" s="20">
        <v>7777901.7885999996</v>
      </c>
      <c r="E53" s="20">
        <v>14580984.5604</v>
      </c>
      <c r="F53" s="20">
        <v>2777968.95</v>
      </c>
      <c r="G53" s="20">
        <v>110820749.089</v>
      </c>
      <c r="H53" s="19" t="s">
        <v>144</v>
      </c>
      <c r="I53" s="106">
        <v>889.01800000000003</v>
      </c>
      <c r="J53" s="106">
        <v>19.975853333333333</v>
      </c>
      <c r="K53" s="106">
        <v>113.95</v>
      </c>
      <c r="L53" s="106">
        <v>228.4</v>
      </c>
      <c r="M53" s="106">
        <v>89.29</v>
      </c>
      <c r="N53" s="106">
        <v>52.67</v>
      </c>
      <c r="O53" s="106">
        <v>149.22999999999999</v>
      </c>
      <c r="P53" s="106">
        <v>-15.7</v>
      </c>
      <c r="Q53" s="106">
        <v>31.4</v>
      </c>
      <c r="R53" s="106">
        <v>12</v>
      </c>
      <c r="S53" s="106">
        <v>28</v>
      </c>
      <c r="T53" s="106">
        <v>70</v>
      </c>
      <c r="U53" s="106">
        <v>129.77799999999999</v>
      </c>
      <c r="V53" s="106">
        <v>1</v>
      </c>
      <c r="W53" s="106">
        <v>1</v>
      </c>
      <c r="X53" s="106">
        <v>2</v>
      </c>
      <c r="Y53" s="106">
        <v>6</v>
      </c>
      <c r="Z53" s="106">
        <v>5.9267866666666666</v>
      </c>
      <c r="AA53" s="106">
        <v>1</v>
      </c>
      <c r="AB53" s="106">
        <v>1</v>
      </c>
      <c r="AC53" s="106">
        <v>1.0490666666666666</v>
      </c>
      <c r="AD53" s="19">
        <v>1</v>
      </c>
    </row>
    <row r="54" spans="1:30" x14ac:dyDescent="0.2">
      <c r="A54" s="19" t="s">
        <v>177</v>
      </c>
      <c r="B54" s="19" t="s">
        <v>178</v>
      </c>
      <c r="C54" s="20">
        <v>4432675.96</v>
      </c>
      <c r="D54" s="20">
        <v>324644.70929999999</v>
      </c>
      <c r="E54" s="20">
        <v>740815.571</v>
      </c>
      <c r="F54" s="20">
        <v>0</v>
      </c>
      <c r="G54" s="20">
        <v>5498136.2401999999</v>
      </c>
      <c r="H54" s="19" t="s">
        <v>122</v>
      </c>
      <c r="I54" s="106">
        <v>46.031999999999996</v>
      </c>
      <c r="J54" s="106">
        <v>0</v>
      </c>
      <c r="K54" s="106">
        <v>0</v>
      </c>
      <c r="L54" s="106">
        <v>20.5</v>
      </c>
      <c r="M54" s="106">
        <v>7.02</v>
      </c>
      <c r="N54" s="106">
        <v>2.5</v>
      </c>
      <c r="O54" s="106">
        <v>2.69</v>
      </c>
      <c r="P54" s="106">
        <v>-0.65</v>
      </c>
      <c r="Q54" s="106">
        <v>1.3</v>
      </c>
      <c r="R54" s="106">
        <v>1</v>
      </c>
      <c r="S54" s="106">
        <v>1</v>
      </c>
      <c r="T54" s="106">
        <v>4</v>
      </c>
      <c r="U54" s="106">
        <v>6.6720000000000006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9">
        <v>0</v>
      </c>
    </row>
    <row r="55" spans="1:30" x14ac:dyDescent="0.2">
      <c r="A55" s="19" t="s">
        <v>177</v>
      </c>
      <c r="B55" s="19" t="s">
        <v>179</v>
      </c>
      <c r="C55" s="20">
        <v>16955112.140000001</v>
      </c>
      <c r="D55" s="20">
        <v>1336816.0352</v>
      </c>
      <c r="E55" s="20">
        <v>2761456.1979999999</v>
      </c>
      <c r="F55" s="20">
        <v>0</v>
      </c>
      <c r="G55" s="20">
        <v>21053384.373199999</v>
      </c>
      <c r="H55" s="19" t="s">
        <v>122</v>
      </c>
      <c r="I55" s="106">
        <v>176.18800000000002</v>
      </c>
      <c r="J55" s="106">
        <v>0</v>
      </c>
      <c r="K55" s="106">
        <v>0</v>
      </c>
      <c r="L55" s="106">
        <v>81.8</v>
      </c>
      <c r="M55" s="106">
        <v>23.57</v>
      </c>
      <c r="N55" s="106">
        <v>5.83</v>
      </c>
      <c r="O55" s="106">
        <v>7.69</v>
      </c>
      <c r="P55" s="106">
        <v>-9.6</v>
      </c>
      <c r="Q55" s="106">
        <v>19.2</v>
      </c>
      <c r="R55" s="106">
        <v>1</v>
      </c>
      <c r="S55" s="106">
        <v>7</v>
      </c>
      <c r="T55" s="106">
        <v>14</v>
      </c>
      <c r="U55" s="106">
        <v>25.698000000000004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9">
        <v>0</v>
      </c>
    </row>
    <row r="56" spans="1:30" x14ac:dyDescent="0.2">
      <c r="A56" s="19" t="s">
        <v>177</v>
      </c>
      <c r="B56" s="19" t="s">
        <v>180</v>
      </c>
      <c r="C56" s="20">
        <v>4448830</v>
      </c>
      <c r="D56" s="20">
        <v>389776.7243</v>
      </c>
      <c r="E56" s="20">
        <v>790528.85660000006</v>
      </c>
      <c r="F56" s="20">
        <v>0</v>
      </c>
      <c r="G56" s="20">
        <v>5629135.5809000004</v>
      </c>
      <c r="H56" s="19" t="s">
        <v>122</v>
      </c>
      <c r="I56" s="106">
        <v>46.2</v>
      </c>
      <c r="J56" s="106">
        <v>0</v>
      </c>
      <c r="K56" s="106">
        <v>0</v>
      </c>
      <c r="L56" s="106">
        <v>20.6</v>
      </c>
      <c r="M56" s="106">
        <v>7.38</v>
      </c>
      <c r="N56" s="106">
        <v>3.33</v>
      </c>
      <c r="O56" s="106">
        <v>1.54</v>
      </c>
      <c r="P56" s="106">
        <v>-0.65</v>
      </c>
      <c r="Q56" s="106">
        <v>1.3</v>
      </c>
      <c r="R56" s="106">
        <v>1</v>
      </c>
      <c r="S56" s="106">
        <v>1</v>
      </c>
      <c r="T56" s="106">
        <v>4</v>
      </c>
      <c r="U56" s="106">
        <v>6.7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9">
        <v>0</v>
      </c>
    </row>
    <row r="57" spans="1:30" x14ac:dyDescent="0.2">
      <c r="A57" s="19" t="s">
        <v>177</v>
      </c>
      <c r="B57" s="19" t="s">
        <v>181</v>
      </c>
      <c r="C57" s="20">
        <v>4776526.24</v>
      </c>
      <c r="D57" s="20">
        <v>455082.09450000001</v>
      </c>
      <c r="E57" s="20">
        <v>769193.0307</v>
      </c>
      <c r="F57" s="20">
        <v>0</v>
      </c>
      <c r="G57" s="20">
        <v>6000801.3651999999</v>
      </c>
      <c r="H57" s="19" t="s">
        <v>122</v>
      </c>
      <c r="I57" s="106">
        <v>49.607999999999997</v>
      </c>
      <c r="J57" s="106">
        <v>0</v>
      </c>
      <c r="K57" s="106">
        <v>17.649999999999999</v>
      </c>
      <c r="L57" s="106">
        <v>7.15</v>
      </c>
      <c r="M57" s="106">
        <v>3.69</v>
      </c>
      <c r="N57" s="106">
        <v>4</v>
      </c>
      <c r="O57" s="106">
        <v>3.85</v>
      </c>
      <c r="P57" s="106">
        <v>0</v>
      </c>
      <c r="Q57" s="106">
        <v>0</v>
      </c>
      <c r="R57" s="106">
        <v>1</v>
      </c>
      <c r="S57" s="106">
        <v>1</v>
      </c>
      <c r="T57" s="106">
        <v>4</v>
      </c>
      <c r="U57" s="106">
        <v>7.2680000000000007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9">
        <v>0</v>
      </c>
    </row>
    <row r="58" spans="1:30" x14ac:dyDescent="0.2">
      <c r="A58" s="19" t="s">
        <v>177</v>
      </c>
      <c r="B58" s="19" t="s">
        <v>182</v>
      </c>
      <c r="C58" s="20">
        <v>5385934.2800000003</v>
      </c>
      <c r="D58" s="20">
        <v>525637.65</v>
      </c>
      <c r="E58" s="20">
        <v>873211.26639999996</v>
      </c>
      <c r="F58" s="20">
        <v>0</v>
      </c>
      <c r="G58" s="20">
        <v>6784783.1963999998</v>
      </c>
      <c r="H58" s="19" t="s">
        <v>122</v>
      </c>
      <c r="I58" s="106">
        <v>56.175999999999995</v>
      </c>
      <c r="J58" s="106">
        <v>0</v>
      </c>
      <c r="K58" s="106">
        <v>20.8</v>
      </c>
      <c r="L58" s="106">
        <v>9.1999999999999993</v>
      </c>
      <c r="M58" s="106">
        <v>6.79</v>
      </c>
      <c r="N58" s="106">
        <v>1.5</v>
      </c>
      <c r="O58" s="106">
        <v>2.69</v>
      </c>
      <c r="P58" s="106">
        <v>0</v>
      </c>
      <c r="Q58" s="106">
        <v>0</v>
      </c>
      <c r="R58" s="106">
        <v>1</v>
      </c>
      <c r="S58" s="106">
        <v>1</v>
      </c>
      <c r="T58" s="106">
        <v>5</v>
      </c>
      <c r="U58" s="106">
        <v>8.1959999999999997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9">
        <v>0</v>
      </c>
    </row>
    <row r="59" spans="1:30" x14ac:dyDescent="0.2">
      <c r="A59" s="19" t="s">
        <v>177</v>
      </c>
      <c r="B59" s="19" t="s">
        <v>183</v>
      </c>
      <c r="C59" s="20">
        <v>6055591.3200000003</v>
      </c>
      <c r="D59" s="20">
        <v>399558.90909999999</v>
      </c>
      <c r="E59" s="20">
        <v>839674.26859999995</v>
      </c>
      <c r="F59" s="20">
        <v>0</v>
      </c>
      <c r="G59" s="20">
        <v>7294824.4976000004</v>
      </c>
      <c r="H59" s="19" t="s">
        <v>122</v>
      </c>
      <c r="I59" s="106">
        <v>62.744000000000007</v>
      </c>
      <c r="J59" s="106">
        <v>0</v>
      </c>
      <c r="K59" s="106">
        <v>23.15</v>
      </c>
      <c r="L59" s="106">
        <v>10.3</v>
      </c>
      <c r="M59" s="106">
        <v>4.29</v>
      </c>
      <c r="N59" s="106">
        <v>2.5</v>
      </c>
      <c r="O59" s="106">
        <v>5.38</v>
      </c>
      <c r="P59" s="106">
        <v>0</v>
      </c>
      <c r="Q59" s="106">
        <v>0</v>
      </c>
      <c r="R59" s="106">
        <v>1</v>
      </c>
      <c r="S59" s="106">
        <v>2</v>
      </c>
      <c r="T59" s="106">
        <v>5</v>
      </c>
      <c r="U59" s="106">
        <v>9.1240000000000006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9">
        <v>0</v>
      </c>
    </row>
    <row r="60" spans="1:30" x14ac:dyDescent="0.2">
      <c r="A60" s="19" t="s">
        <v>177</v>
      </c>
      <c r="B60" s="19" t="s">
        <v>184</v>
      </c>
      <c r="C60" s="20">
        <v>4883835.22</v>
      </c>
      <c r="D60" s="20">
        <v>424571.58409999998</v>
      </c>
      <c r="E60" s="20">
        <v>861675.31799999997</v>
      </c>
      <c r="F60" s="20">
        <v>0</v>
      </c>
      <c r="G60" s="20">
        <v>6170082.1220000004</v>
      </c>
      <c r="H60" s="19" t="s">
        <v>122</v>
      </c>
      <c r="I60" s="106">
        <v>50.723999999999997</v>
      </c>
      <c r="J60" s="106">
        <v>0</v>
      </c>
      <c r="K60" s="106">
        <v>0</v>
      </c>
      <c r="L60" s="106">
        <v>23.4</v>
      </c>
      <c r="M60" s="106">
        <v>6.9</v>
      </c>
      <c r="N60" s="106">
        <v>1.67</v>
      </c>
      <c r="O60" s="106">
        <v>4.62</v>
      </c>
      <c r="P60" s="106">
        <v>-0.69</v>
      </c>
      <c r="Q60" s="106">
        <v>1.37</v>
      </c>
      <c r="R60" s="106">
        <v>1</v>
      </c>
      <c r="S60" s="106">
        <v>1</v>
      </c>
      <c r="T60" s="106">
        <v>4</v>
      </c>
      <c r="U60" s="106">
        <v>7.4540000000000006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9">
        <v>0</v>
      </c>
    </row>
    <row r="61" spans="1:30" x14ac:dyDescent="0.2">
      <c r="A61" s="19" t="s">
        <v>177</v>
      </c>
      <c r="B61" s="19" t="s">
        <v>185</v>
      </c>
      <c r="C61" s="20">
        <v>5017682.9800000004</v>
      </c>
      <c r="D61" s="20">
        <v>492081.04149999999</v>
      </c>
      <c r="E61" s="20">
        <v>799079.41189999995</v>
      </c>
      <c r="F61" s="20">
        <v>0</v>
      </c>
      <c r="G61" s="20">
        <v>6308843.4334000004</v>
      </c>
      <c r="H61" s="19" t="s">
        <v>122</v>
      </c>
      <c r="I61" s="106">
        <v>52.116</v>
      </c>
      <c r="J61" s="106">
        <v>0</v>
      </c>
      <c r="K61" s="106">
        <v>21.54</v>
      </c>
      <c r="L61" s="106">
        <v>8.35</v>
      </c>
      <c r="M61" s="106">
        <v>3.69</v>
      </c>
      <c r="N61" s="106">
        <v>1</v>
      </c>
      <c r="O61" s="106">
        <v>3.85</v>
      </c>
      <c r="P61" s="106">
        <v>0</v>
      </c>
      <c r="Q61" s="106">
        <v>0</v>
      </c>
      <c r="R61" s="106">
        <v>1</v>
      </c>
      <c r="S61" s="106">
        <v>1</v>
      </c>
      <c r="T61" s="106">
        <v>4</v>
      </c>
      <c r="U61" s="106">
        <v>7.6859999999999999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9">
        <v>0</v>
      </c>
    </row>
    <row r="62" spans="1:30" x14ac:dyDescent="0.2">
      <c r="A62" s="19" t="s">
        <v>177</v>
      </c>
      <c r="B62" s="19" t="s">
        <v>186</v>
      </c>
      <c r="C62" s="20">
        <v>5180377.24</v>
      </c>
      <c r="D62" s="20">
        <v>474126.39860000001</v>
      </c>
      <c r="E62" s="20">
        <v>823790.03009999997</v>
      </c>
      <c r="F62" s="20">
        <v>0</v>
      </c>
      <c r="G62" s="20">
        <v>6478293.6687000003</v>
      </c>
      <c r="H62" s="19" t="s">
        <v>122</v>
      </c>
      <c r="I62" s="106">
        <v>53.808000000000007</v>
      </c>
      <c r="J62" s="106">
        <v>0</v>
      </c>
      <c r="K62" s="106">
        <v>20.37</v>
      </c>
      <c r="L62" s="106">
        <v>7.8</v>
      </c>
      <c r="M62" s="106">
        <v>4.88</v>
      </c>
      <c r="N62" s="106">
        <v>3.33</v>
      </c>
      <c r="O62" s="106">
        <v>3.46</v>
      </c>
      <c r="P62" s="106">
        <v>0</v>
      </c>
      <c r="Q62" s="106">
        <v>0</v>
      </c>
      <c r="R62" s="106">
        <v>1</v>
      </c>
      <c r="S62" s="106">
        <v>1</v>
      </c>
      <c r="T62" s="106">
        <v>4</v>
      </c>
      <c r="U62" s="106">
        <v>7.9680000000000009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9">
        <v>0</v>
      </c>
    </row>
    <row r="63" spans="1:30" x14ac:dyDescent="0.2">
      <c r="A63" s="19" t="s">
        <v>177</v>
      </c>
      <c r="B63" s="19" t="s">
        <v>187</v>
      </c>
      <c r="C63" s="20">
        <v>19597055.84</v>
      </c>
      <c r="D63" s="20">
        <v>354263.67879999999</v>
      </c>
      <c r="E63" s="20">
        <v>2433079.1784000001</v>
      </c>
      <c r="F63" s="20">
        <v>0</v>
      </c>
      <c r="G63" s="20">
        <v>22384398.6972</v>
      </c>
      <c r="H63" s="19" t="s">
        <v>122</v>
      </c>
      <c r="I63" s="106">
        <v>203.72799999999998</v>
      </c>
      <c r="J63" s="106">
        <v>0</v>
      </c>
      <c r="K63" s="106">
        <v>0</v>
      </c>
      <c r="L63" s="106">
        <v>0</v>
      </c>
      <c r="M63" s="106">
        <v>8.93</v>
      </c>
      <c r="N63" s="106">
        <v>5.83</v>
      </c>
      <c r="O63" s="106">
        <v>131.91999999999999</v>
      </c>
      <c r="P63" s="106">
        <v>-2.27</v>
      </c>
      <c r="Q63" s="106">
        <v>4.53</v>
      </c>
      <c r="R63" s="106">
        <v>1</v>
      </c>
      <c r="S63" s="106">
        <v>8</v>
      </c>
      <c r="T63" s="106">
        <v>16</v>
      </c>
      <c r="U63" s="106">
        <v>29.788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9">
        <v>0</v>
      </c>
    </row>
    <row r="64" spans="1:30" x14ac:dyDescent="0.2">
      <c r="A64" s="19" t="s">
        <v>177</v>
      </c>
      <c r="B64" s="19" t="s">
        <v>188</v>
      </c>
      <c r="C64" s="20">
        <v>76736505.870000005</v>
      </c>
      <c r="D64" s="20">
        <v>5176558.8254000004</v>
      </c>
      <c r="E64" s="20">
        <v>11692503.1296</v>
      </c>
      <c r="F64" s="20">
        <v>2690025.0260000001</v>
      </c>
      <c r="G64" s="20">
        <v>96295592.850999996</v>
      </c>
      <c r="H64" s="19" t="s">
        <v>144</v>
      </c>
      <c r="I64" s="106">
        <v>797.35400000000004</v>
      </c>
      <c r="J64" s="106">
        <v>19.213293333333336</v>
      </c>
      <c r="K64" s="106">
        <v>103.52</v>
      </c>
      <c r="L64" s="106">
        <v>189.1</v>
      </c>
      <c r="M64" s="106">
        <v>77.14</v>
      </c>
      <c r="N64" s="106">
        <v>31.5</v>
      </c>
      <c r="O64" s="106">
        <v>167.69</v>
      </c>
      <c r="P64" s="106">
        <v>-13.85</v>
      </c>
      <c r="Q64" s="106">
        <v>27.7</v>
      </c>
      <c r="R64" s="106">
        <v>10</v>
      </c>
      <c r="S64" s="106">
        <v>24</v>
      </c>
      <c r="T64" s="106">
        <v>64</v>
      </c>
      <c r="U64" s="106">
        <v>116.554</v>
      </c>
      <c r="V64" s="106">
        <v>1</v>
      </c>
      <c r="W64" s="106">
        <v>1</v>
      </c>
      <c r="X64" s="106">
        <v>2</v>
      </c>
      <c r="Y64" s="106">
        <v>6</v>
      </c>
      <c r="Z64" s="106">
        <v>5.3156933333333338</v>
      </c>
      <c r="AA64" s="106">
        <v>1</v>
      </c>
      <c r="AB64" s="106">
        <v>1</v>
      </c>
      <c r="AC64" s="106">
        <v>0.89759999999999995</v>
      </c>
      <c r="AD64" s="19">
        <v>1</v>
      </c>
    </row>
    <row r="65" spans="1:30" x14ac:dyDescent="0.2">
      <c r="A65" s="19" t="s">
        <v>189</v>
      </c>
      <c r="B65" s="19" t="s">
        <v>190</v>
      </c>
      <c r="C65" s="20">
        <v>2864975.92</v>
      </c>
      <c r="D65" s="20">
        <v>543270.34759999998</v>
      </c>
      <c r="E65" s="20">
        <v>653492.82180000003</v>
      </c>
      <c r="F65" s="20">
        <v>0</v>
      </c>
      <c r="G65" s="20">
        <v>4061739.0893999999</v>
      </c>
      <c r="H65" s="19" t="s">
        <v>122</v>
      </c>
      <c r="I65" s="106">
        <v>29.663999999999998</v>
      </c>
      <c r="J65" s="106">
        <v>0</v>
      </c>
      <c r="K65" s="106">
        <v>9.14</v>
      </c>
      <c r="L65" s="106">
        <v>5.85</v>
      </c>
      <c r="M65" s="106">
        <v>4.6399999999999997</v>
      </c>
      <c r="N65" s="106">
        <v>0.67</v>
      </c>
      <c r="O65" s="106">
        <v>1.92</v>
      </c>
      <c r="P65" s="106">
        <v>0</v>
      </c>
      <c r="Q65" s="106">
        <v>0</v>
      </c>
      <c r="R65" s="106">
        <v>1</v>
      </c>
      <c r="S65" s="106">
        <v>0</v>
      </c>
      <c r="T65" s="106">
        <v>2</v>
      </c>
      <c r="U65" s="106">
        <v>4.444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9">
        <v>0</v>
      </c>
    </row>
    <row r="66" spans="1:30" x14ac:dyDescent="0.2">
      <c r="A66" s="19" t="s">
        <v>189</v>
      </c>
      <c r="B66" s="19" t="s">
        <v>191</v>
      </c>
      <c r="C66" s="20">
        <v>507698.4</v>
      </c>
      <c r="D66" s="20">
        <v>60179.0101</v>
      </c>
      <c r="E66" s="20">
        <v>121070.6715</v>
      </c>
      <c r="F66" s="20">
        <v>0</v>
      </c>
      <c r="G66" s="20">
        <v>688948.08160000003</v>
      </c>
      <c r="H66" s="19" t="s">
        <v>122</v>
      </c>
      <c r="I66" s="106">
        <v>5.28</v>
      </c>
      <c r="J66" s="106">
        <v>0</v>
      </c>
      <c r="K66" s="106">
        <v>0</v>
      </c>
      <c r="L66" s="106">
        <v>0</v>
      </c>
      <c r="M66" s="106">
        <v>4.4000000000000004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0.88000000000000012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9">
        <v>0</v>
      </c>
    </row>
    <row r="67" spans="1:30" x14ac:dyDescent="0.2">
      <c r="A67" s="19" t="s">
        <v>189</v>
      </c>
      <c r="B67" s="19" t="s">
        <v>192</v>
      </c>
      <c r="C67" s="20">
        <v>5738279.8200000003</v>
      </c>
      <c r="D67" s="20">
        <v>1147586.4812</v>
      </c>
      <c r="E67" s="20">
        <v>1316899.0958</v>
      </c>
      <c r="F67" s="20">
        <v>0</v>
      </c>
      <c r="G67" s="20">
        <v>8202765.3969999999</v>
      </c>
      <c r="H67" s="19" t="s">
        <v>122</v>
      </c>
      <c r="I67" s="106">
        <v>59.443999999999996</v>
      </c>
      <c r="J67" s="106">
        <v>0</v>
      </c>
      <c r="K67" s="106">
        <v>19.010000000000002</v>
      </c>
      <c r="L67" s="106">
        <v>9.6</v>
      </c>
      <c r="M67" s="106">
        <v>6.43</v>
      </c>
      <c r="N67" s="106">
        <v>2.83</v>
      </c>
      <c r="O67" s="106">
        <v>5</v>
      </c>
      <c r="P67" s="106">
        <v>0</v>
      </c>
      <c r="Q67" s="106">
        <v>0</v>
      </c>
      <c r="R67" s="106">
        <v>1</v>
      </c>
      <c r="S67" s="106">
        <v>2</v>
      </c>
      <c r="T67" s="106">
        <v>5</v>
      </c>
      <c r="U67" s="106">
        <v>8.5739999999999998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9">
        <v>0</v>
      </c>
    </row>
    <row r="68" spans="1:30" x14ac:dyDescent="0.2">
      <c r="A68" s="19" t="s">
        <v>189</v>
      </c>
      <c r="B68" s="19" t="s">
        <v>193</v>
      </c>
      <c r="C68" s="20">
        <v>17145499.039999999</v>
      </c>
      <c r="D68" s="20">
        <v>2470459.8075000001</v>
      </c>
      <c r="E68" s="20">
        <v>3606257.5548</v>
      </c>
      <c r="F68" s="20">
        <v>0</v>
      </c>
      <c r="G68" s="20">
        <v>23222216.4023</v>
      </c>
      <c r="H68" s="19" t="s">
        <v>122</v>
      </c>
      <c r="I68" s="106">
        <v>178.16800000000001</v>
      </c>
      <c r="J68" s="106">
        <v>0</v>
      </c>
      <c r="K68" s="106">
        <v>0</v>
      </c>
      <c r="L68" s="106">
        <v>69.45</v>
      </c>
      <c r="M68" s="106">
        <v>29.17</v>
      </c>
      <c r="N68" s="106">
        <v>10.5</v>
      </c>
      <c r="O68" s="106">
        <v>11.92</v>
      </c>
      <c r="P68" s="106">
        <v>-9.1</v>
      </c>
      <c r="Q68" s="106">
        <v>18.2</v>
      </c>
      <c r="R68" s="106">
        <v>1</v>
      </c>
      <c r="S68" s="106">
        <v>7</v>
      </c>
      <c r="T68" s="106">
        <v>14</v>
      </c>
      <c r="U68" s="106">
        <v>26.027999999999999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9">
        <v>0</v>
      </c>
    </row>
    <row r="69" spans="1:30" x14ac:dyDescent="0.2">
      <c r="A69" s="19" t="s">
        <v>189</v>
      </c>
      <c r="B69" s="19" t="s">
        <v>194</v>
      </c>
      <c r="C69" s="20">
        <v>5019990.7</v>
      </c>
      <c r="D69" s="20">
        <v>723856.90800000005</v>
      </c>
      <c r="E69" s="20">
        <v>1007326.8079</v>
      </c>
      <c r="F69" s="20">
        <v>0</v>
      </c>
      <c r="G69" s="20">
        <v>6751174.4159000004</v>
      </c>
      <c r="H69" s="19" t="s">
        <v>122</v>
      </c>
      <c r="I69" s="106">
        <v>52.14</v>
      </c>
      <c r="J69" s="106">
        <v>0</v>
      </c>
      <c r="K69" s="106">
        <v>16.670000000000002</v>
      </c>
      <c r="L69" s="106">
        <v>0</v>
      </c>
      <c r="M69" s="106">
        <v>2.86</v>
      </c>
      <c r="N69" s="106">
        <v>12</v>
      </c>
      <c r="O69" s="106">
        <v>6.92</v>
      </c>
      <c r="P69" s="106">
        <v>0</v>
      </c>
      <c r="Q69" s="106">
        <v>0</v>
      </c>
      <c r="R69" s="106">
        <v>1</v>
      </c>
      <c r="S69" s="106">
        <v>1</v>
      </c>
      <c r="T69" s="106">
        <v>4</v>
      </c>
      <c r="U69" s="106">
        <v>7.6900000000000013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9">
        <v>0</v>
      </c>
    </row>
    <row r="70" spans="1:30" x14ac:dyDescent="0.2">
      <c r="A70" s="19" t="s">
        <v>189</v>
      </c>
      <c r="B70" s="19" t="s">
        <v>195</v>
      </c>
      <c r="C70" s="20">
        <v>2159967.46</v>
      </c>
      <c r="D70" s="20">
        <v>353718.84830000001</v>
      </c>
      <c r="E70" s="20">
        <v>453795.98119999998</v>
      </c>
      <c r="F70" s="20">
        <v>0</v>
      </c>
      <c r="G70" s="20">
        <v>2967482.2895</v>
      </c>
      <c r="H70" s="19" t="s">
        <v>122</v>
      </c>
      <c r="I70" s="106">
        <v>22.332000000000001</v>
      </c>
      <c r="J70" s="106">
        <v>0</v>
      </c>
      <c r="K70" s="106">
        <v>7.59</v>
      </c>
      <c r="L70" s="106">
        <v>0</v>
      </c>
      <c r="M70" s="106">
        <v>1.43</v>
      </c>
      <c r="N70" s="106">
        <v>5.17</v>
      </c>
      <c r="O70" s="106">
        <v>1.92</v>
      </c>
      <c r="P70" s="106">
        <v>0</v>
      </c>
      <c r="Q70" s="106">
        <v>0</v>
      </c>
      <c r="R70" s="106">
        <v>1</v>
      </c>
      <c r="S70" s="106">
        <v>0</v>
      </c>
      <c r="T70" s="106">
        <v>2</v>
      </c>
      <c r="U70" s="106">
        <v>3.222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9">
        <v>0</v>
      </c>
    </row>
    <row r="71" spans="1:30" x14ac:dyDescent="0.2">
      <c r="A71" s="19" t="s">
        <v>189</v>
      </c>
      <c r="B71" s="19" t="s">
        <v>196</v>
      </c>
      <c r="C71" s="20">
        <v>2519971.7799999998</v>
      </c>
      <c r="D71" s="20">
        <v>320286.0649</v>
      </c>
      <c r="E71" s="20">
        <v>443152.4056</v>
      </c>
      <c r="F71" s="20">
        <v>0</v>
      </c>
      <c r="G71" s="20">
        <v>3283410.2505999999</v>
      </c>
      <c r="H71" s="19" t="s">
        <v>122</v>
      </c>
      <c r="I71" s="106">
        <v>26.075999999999997</v>
      </c>
      <c r="J71" s="106">
        <v>0</v>
      </c>
      <c r="K71" s="106">
        <v>12.53</v>
      </c>
      <c r="L71" s="106">
        <v>3.8</v>
      </c>
      <c r="M71" s="106">
        <v>1.9</v>
      </c>
      <c r="N71" s="106">
        <v>1</v>
      </c>
      <c r="O71" s="106">
        <v>0</v>
      </c>
      <c r="P71" s="106">
        <v>0</v>
      </c>
      <c r="Q71" s="106">
        <v>0</v>
      </c>
      <c r="R71" s="106">
        <v>1</v>
      </c>
      <c r="S71" s="106">
        <v>0</v>
      </c>
      <c r="T71" s="106">
        <v>2</v>
      </c>
      <c r="U71" s="106">
        <v>3.8460000000000001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9">
        <v>0</v>
      </c>
    </row>
    <row r="72" spans="1:30" x14ac:dyDescent="0.2">
      <c r="A72" s="19" t="s">
        <v>189</v>
      </c>
      <c r="B72" s="19" t="s">
        <v>197</v>
      </c>
      <c r="C72" s="20">
        <v>13429877.34</v>
      </c>
      <c r="D72" s="20">
        <v>316472.25109999999</v>
      </c>
      <c r="E72" s="20">
        <v>1872766.3171999999</v>
      </c>
      <c r="F72" s="20">
        <v>0</v>
      </c>
      <c r="G72" s="20">
        <v>15619115.908299999</v>
      </c>
      <c r="H72" s="19" t="s">
        <v>122</v>
      </c>
      <c r="I72" s="106">
        <v>139.62800000000001</v>
      </c>
      <c r="J72" s="106">
        <v>0</v>
      </c>
      <c r="K72" s="106">
        <v>0</v>
      </c>
      <c r="L72" s="106">
        <v>0</v>
      </c>
      <c r="M72" s="106">
        <v>0</v>
      </c>
      <c r="N72" s="106">
        <v>0.17</v>
      </c>
      <c r="O72" s="106">
        <v>101.54</v>
      </c>
      <c r="P72" s="106">
        <v>-0.49</v>
      </c>
      <c r="Q72" s="106">
        <v>0.97</v>
      </c>
      <c r="R72" s="106">
        <v>1</v>
      </c>
      <c r="S72" s="106">
        <v>5</v>
      </c>
      <c r="T72" s="106">
        <v>11</v>
      </c>
      <c r="U72" s="106">
        <v>20.438000000000002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9">
        <v>0</v>
      </c>
    </row>
    <row r="73" spans="1:30" x14ac:dyDescent="0.2">
      <c r="A73" s="19" t="s">
        <v>189</v>
      </c>
      <c r="B73" s="19" t="s">
        <v>198</v>
      </c>
      <c r="C73" s="20">
        <v>3440186.4</v>
      </c>
      <c r="D73" s="20">
        <v>159461.99429999999</v>
      </c>
      <c r="E73" s="20">
        <v>489490.89909999998</v>
      </c>
      <c r="F73" s="20">
        <v>0</v>
      </c>
      <c r="G73" s="20">
        <v>4089139.2933</v>
      </c>
      <c r="H73" s="19" t="s">
        <v>122</v>
      </c>
      <c r="I73" s="106">
        <v>35.480000000000004</v>
      </c>
      <c r="J73" s="106">
        <v>0</v>
      </c>
      <c r="K73" s="106">
        <v>0</v>
      </c>
      <c r="L73" s="106">
        <v>0</v>
      </c>
      <c r="M73" s="106">
        <v>0</v>
      </c>
      <c r="N73" s="106">
        <v>4.5</v>
      </c>
      <c r="O73" s="106">
        <v>20.77</v>
      </c>
      <c r="P73" s="106">
        <v>-0.13</v>
      </c>
      <c r="Q73" s="106">
        <v>0.26</v>
      </c>
      <c r="R73" s="106">
        <v>1</v>
      </c>
      <c r="S73" s="106">
        <v>1</v>
      </c>
      <c r="T73" s="106">
        <v>3</v>
      </c>
      <c r="U73" s="106">
        <v>5.08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9">
        <v>0</v>
      </c>
    </row>
    <row r="74" spans="1:30" x14ac:dyDescent="0.2">
      <c r="A74" s="19" t="s">
        <v>189</v>
      </c>
      <c r="B74" s="19" t="s">
        <v>199</v>
      </c>
      <c r="C74" s="20">
        <v>5669048.2199999997</v>
      </c>
      <c r="D74" s="20">
        <v>883616.08259999997</v>
      </c>
      <c r="E74" s="20">
        <v>1222453.5881000001</v>
      </c>
      <c r="F74" s="20">
        <v>0</v>
      </c>
      <c r="G74" s="20">
        <v>7775117.8905999996</v>
      </c>
      <c r="H74" s="19" t="s">
        <v>122</v>
      </c>
      <c r="I74" s="106">
        <v>58.723999999999997</v>
      </c>
      <c r="J74" s="106">
        <v>0</v>
      </c>
      <c r="K74" s="106">
        <v>0</v>
      </c>
      <c r="L74" s="106">
        <v>24.2</v>
      </c>
      <c r="M74" s="106">
        <v>8.69</v>
      </c>
      <c r="N74" s="106">
        <v>2.33</v>
      </c>
      <c r="O74" s="106">
        <v>5.77</v>
      </c>
      <c r="P74" s="106">
        <v>-1.28</v>
      </c>
      <c r="Q74" s="106">
        <v>2.56</v>
      </c>
      <c r="R74" s="106">
        <v>1</v>
      </c>
      <c r="S74" s="106">
        <v>2</v>
      </c>
      <c r="T74" s="106">
        <v>5</v>
      </c>
      <c r="U74" s="106">
        <v>8.4540000000000006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9">
        <v>0</v>
      </c>
    </row>
    <row r="75" spans="1:30" x14ac:dyDescent="0.2">
      <c r="A75" s="19" t="s">
        <v>189</v>
      </c>
      <c r="B75" s="19" t="s">
        <v>200</v>
      </c>
      <c r="C75" s="20">
        <v>5843281.0800000001</v>
      </c>
      <c r="D75" s="20">
        <v>1127303.926</v>
      </c>
      <c r="E75" s="20">
        <v>1407255.9129999999</v>
      </c>
      <c r="F75" s="20">
        <v>0</v>
      </c>
      <c r="G75" s="20">
        <v>8377840.9188999999</v>
      </c>
      <c r="H75" s="19" t="s">
        <v>122</v>
      </c>
      <c r="I75" s="106">
        <v>60.535999999999994</v>
      </c>
      <c r="J75" s="106">
        <v>0</v>
      </c>
      <c r="K75" s="106">
        <v>0</v>
      </c>
      <c r="L75" s="106">
        <v>27.45</v>
      </c>
      <c r="M75" s="106">
        <v>12.02</v>
      </c>
      <c r="N75" s="106">
        <v>1.5</v>
      </c>
      <c r="O75" s="106">
        <v>1.54</v>
      </c>
      <c r="P75" s="106">
        <v>-1.27</v>
      </c>
      <c r="Q75" s="106">
        <v>2.54</v>
      </c>
      <c r="R75" s="106">
        <v>1</v>
      </c>
      <c r="S75" s="106">
        <v>2</v>
      </c>
      <c r="T75" s="106">
        <v>5</v>
      </c>
      <c r="U75" s="106">
        <v>8.7560000000000002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9">
        <v>0</v>
      </c>
    </row>
    <row r="76" spans="1:30" x14ac:dyDescent="0.2">
      <c r="A76" s="19" t="s">
        <v>189</v>
      </c>
      <c r="B76" s="19" t="s">
        <v>201</v>
      </c>
      <c r="C76" s="20">
        <v>2921515.06</v>
      </c>
      <c r="D76" s="20">
        <v>585593.77489999996</v>
      </c>
      <c r="E76" s="20">
        <v>678170.99010000005</v>
      </c>
      <c r="F76" s="20">
        <v>0</v>
      </c>
      <c r="G76" s="20">
        <v>4185279.8248999999</v>
      </c>
      <c r="H76" s="19" t="s">
        <v>122</v>
      </c>
      <c r="I76" s="106">
        <v>30.252000000000002</v>
      </c>
      <c r="J76" s="106">
        <v>0</v>
      </c>
      <c r="K76" s="106">
        <v>10.56</v>
      </c>
      <c r="L76" s="106">
        <v>5.9</v>
      </c>
      <c r="M76" s="106">
        <v>3.33</v>
      </c>
      <c r="N76" s="106">
        <v>1</v>
      </c>
      <c r="O76" s="106">
        <v>1.92</v>
      </c>
      <c r="P76" s="106">
        <v>0</v>
      </c>
      <c r="Q76" s="106">
        <v>0</v>
      </c>
      <c r="R76" s="106">
        <v>1</v>
      </c>
      <c r="S76" s="106">
        <v>0</v>
      </c>
      <c r="T76" s="106">
        <v>2</v>
      </c>
      <c r="U76" s="106">
        <v>4.5420000000000007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9">
        <v>0</v>
      </c>
    </row>
    <row r="77" spans="1:30" x14ac:dyDescent="0.2">
      <c r="A77" s="19" t="s">
        <v>189</v>
      </c>
      <c r="B77" s="19" t="s">
        <v>202</v>
      </c>
      <c r="C77" s="20">
        <v>5651740.3200000003</v>
      </c>
      <c r="D77" s="20">
        <v>1205214.6938</v>
      </c>
      <c r="E77" s="20">
        <v>1332296.5854</v>
      </c>
      <c r="F77" s="20">
        <v>0</v>
      </c>
      <c r="G77" s="20">
        <v>8189251.5992000001</v>
      </c>
      <c r="H77" s="19" t="s">
        <v>122</v>
      </c>
      <c r="I77" s="106">
        <v>58.543999999999997</v>
      </c>
      <c r="J77" s="106">
        <v>0</v>
      </c>
      <c r="K77" s="106">
        <v>20.68</v>
      </c>
      <c r="L77" s="106">
        <v>10.85</v>
      </c>
      <c r="M77" s="106">
        <v>6.9</v>
      </c>
      <c r="N77" s="106">
        <v>1</v>
      </c>
      <c r="O77" s="106">
        <v>2.69</v>
      </c>
      <c r="P77" s="106">
        <v>0</v>
      </c>
      <c r="Q77" s="106">
        <v>0</v>
      </c>
      <c r="R77" s="106">
        <v>1</v>
      </c>
      <c r="S77" s="106">
        <v>2</v>
      </c>
      <c r="T77" s="106">
        <v>5</v>
      </c>
      <c r="U77" s="106">
        <v>8.4239999999999995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9">
        <v>0</v>
      </c>
    </row>
    <row r="78" spans="1:30" x14ac:dyDescent="0.2">
      <c r="A78" s="19" t="s">
        <v>189</v>
      </c>
      <c r="B78" s="19" t="s">
        <v>203</v>
      </c>
      <c r="C78" s="20">
        <v>2973438.76</v>
      </c>
      <c r="D78" s="20">
        <v>617293.00659999996</v>
      </c>
      <c r="E78" s="20">
        <v>704390.52969999996</v>
      </c>
      <c r="F78" s="20">
        <v>0</v>
      </c>
      <c r="G78" s="20">
        <v>4295122.2962999996</v>
      </c>
      <c r="H78" s="19" t="s">
        <v>122</v>
      </c>
      <c r="I78" s="106">
        <v>30.792000000000002</v>
      </c>
      <c r="J78" s="106">
        <v>0</v>
      </c>
      <c r="K78" s="106">
        <v>10.68</v>
      </c>
      <c r="L78" s="106">
        <v>5.5</v>
      </c>
      <c r="M78" s="106">
        <v>2.62</v>
      </c>
      <c r="N78" s="106">
        <v>1.67</v>
      </c>
      <c r="O78" s="106">
        <v>2.69</v>
      </c>
      <c r="P78" s="106">
        <v>0</v>
      </c>
      <c r="Q78" s="106">
        <v>0</v>
      </c>
      <c r="R78" s="106">
        <v>1</v>
      </c>
      <c r="S78" s="106">
        <v>0</v>
      </c>
      <c r="T78" s="106">
        <v>2</v>
      </c>
      <c r="U78" s="106">
        <v>4.6320000000000006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9">
        <v>0</v>
      </c>
    </row>
    <row r="79" spans="1:30" x14ac:dyDescent="0.2">
      <c r="A79" s="19" t="s">
        <v>189</v>
      </c>
      <c r="B79" s="19" t="s">
        <v>204</v>
      </c>
      <c r="C79" s="20">
        <v>75886431.849999994</v>
      </c>
      <c r="D79" s="20">
        <v>10514313.196699999</v>
      </c>
      <c r="E79" s="20">
        <v>15308820.1612</v>
      </c>
      <c r="F79" s="20">
        <v>2676557.2774</v>
      </c>
      <c r="G79" s="20">
        <v>104386122.48540001</v>
      </c>
      <c r="H79" s="19" t="s">
        <v>144</v>
      </c>
      <c r="I79" s="106">
        <v>787.06999999999994</v>
      </c>
      <c r="J79" s="106">
        <v>19.098600000000001</v>
      </c>
      <c r="K79" s="106">
        <v>106.85</v>
      </c>
      <c r="L79" s="106">
        <v>162.6</v>
      </c>
      <c r="M79" s="106">
        <v>84.4</v>
      </c>
      <c r="N79" s="106">
        <v>44.33</v>
      </c>
      <c r="O79" s="106">
        <v>164.62</v>
      </c>
      <c r="P79" s="106">
        <v>-12.27</v>
      </c>
      <c r="Q79" s="106">
        <v>24.53</v>
      </c>
      <c r="R79" s="106">
        <v>13</v>
      </c>
      <c r="S79" s="106">
        <v>22</v>
      </c>
      <c r="T79" s="106">
        <v>62</v>
      </c>
      <c r="U79" s="106">
        <v>115.01000000000002</v>
      </c>
      <c r="V79" s="106">
        <v>1</v>
      </c>
      <c r="W79" s="106">
        <v>1</v>
      </c>
      <c r="X79" s="106">
        <v>2</v>
      </c>
      <c r="Y79" s="106">
        <v>6</v>
      </c>
      <c r="Z79" s="106">
        <v>5.2471333333333332</v>
      </c>
      <c r="AA79" s="106">
        <v>1</v>
      </c>
      <c r="AB79" s="106">
        <v>1</v>
      </c>
      <c r="AC79" s="106">
        <v>0.8514666666666667</v>
      </c>
      <c r="AD79" s="19">
        <v>1</v>
      </c>
    </row>
    <row r="80" spans="1:30" x14ac:dyDescent="0.2">
      <c r="A80" s="19" t="s">
        <v>205</v>
      </c>
      <c r="B80" s="19" t="s">
        <v>206</v>
      </c>
      <c r="C80" s="20">
        <v>3696343.32</v>
      </c>
      <c r="D80" s="20">
        <v>478187.86259999999</v>
      </c>
      <c r="E80" s="20">
        <v>684385.15079999994</v>
      </c>
      <c r="F80" s="20">
        <v>0</v>
      </c>
      <c r="G80" s="20">
        <v>4858916.3333999999</v>
      </c>
      <c r="H80" s="19" t="s">
        <v>122</v>
      </c>
      <c r="I80" s="106">
        <v>38.144000000000005</v>
      </c>
      <c r="J80" s="106">
        <v>0</v>
      </c>
      <c r="K80" s="106">
        <v>10.62</v>
      </c>
      <c r="L80" s="106">
        <v>4.45</v>
      </c>
      <c r="M80" s="106">
        <v>3.57</v>
      </c>
      <c r="N80" s="106">
        <v>1.67</v>
      </c>
      <c r="O80" s="106">
        <v>7.31</v>
      </c>
      <c r="P80" s="106">
        <v>0</v>
      </c>
      <c r="Q80" s="106">
        <v>0</v>
      </c>
      <c r="R80" s="106">
        <v>1</v>
      </c>
      <c r="S80" s="106">
        <v>1</v>
      </c>
      <c r="T80" s="106">
        <v>3</v>
      </c>
      <c r="U80" s="106">
        <v>5.5240000000000009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9">
        <v>0</v>
      </c>
    </row>
    <row r="81" spans="1:30" x14ac:dyDescent="0.2">
      <c r="A81" s="19" t="s">
        <v>205</v>
      </c>
      <c r="B81" s="19" t="s">
        <v>207</v>
      </c>
      <c r="C81" s="20">
        <v>21878259.600000001</v>
      </c>
      <c r="D81" s="20">
        <v>351341.40590000001</v>
      </c>
      <c r="E81" s="20">
        <v>2705983.0506000002</v>
      </c>
      <c r="F81" s="20">
        <v>0</v>
      </c>
      <c r="G81" s="20">
        <v>24935584.056499999</v>
      </c>
      <c r="H81" s="19" t="s">
        <v>122</v>
      </c>
      <c r="I81" s="106">
        <v>227.12</v>
      </c>
      <c r="J81" s="106">
        <v>0</v>
      </c>
      <c r="K81" s="106">
        <v>0.06</v>
      </c>
      <c r="L81" s="106">
        <v>0</v>
      </c>
      <c r="M81" s="106">
        <v>0</v>
      </c>
      <c r="N81" s="106">
        <v>0.33</v>
      </c>
      <c r="O81" s="106">
        <v>162.69</v>
      </c>
      <c r="P81" s="106">
        <v>-2.0299999999999998</v>
      </c>
      <c r="Q81" s="106">
        <v>4.05</v>
      </c>
      <c r="R81" s="106">
        <v>1</v>
      </c>
      <c r="S81" s="106">
        <v>10</v>
      </c>
      <c r="T81" s="106">
        <v>18</v>
      </c>
      <c r="U81" s="106">
        <v>33.020000000000003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9">
        <v>0</v>
      </c>
    </row>
    <row r="82" spans="1:30" x14ac:dyDescent="0.2">
      <c r="A82" s="19" t="s">
        <v>205</v>
      </c>
      <c r="B82" s="19" t="s">
        <v>208</v>
      </c>
      <c r="C82" s="20">
        <v>2833821.7</v>
      </c>
      <c r="D82" s="20">
        <v>553523.06790000002</v>
      </c>
      <c r="E82" s="20">
        <v>657484.16260000004</v>
      </c>
      <c r="F82" s="20">
        <v>0</v>
      </c>
      <c r="G82" s="20">
        <v>4044828.9304999998</v>
      </c>
      <c r="H82" s="19" t="s">
        <v>122</v>
      </c>
      <c r="I82" s="106">
        <v>29.340000000000003</v>
      </c>
      <c r="J82" s="106">
        <v>0</v>
      </c>
      <c r="K82" s="106">
        <v>8.4600000000000009</v>
      </c>
      <c r="L82" s="106">
        <v>3.65</v>
      </c>
      <c r="M82" s="106">
        <v>1.55</v>
      </c>
      <c r="N82" s="106">
        <v>3.67</v>
      </c>
      <c r="O82" s="106">
        <v>4.62</v>
      </c>
      <c r="P82" s="106">
        <v>0</v>
      </c>
      <c r="Q82" s="106">
        <v>0</v>
      </c>
      <c r="R82" s="106">
        <v>1</v>
      </c>
      <c r="S82" s="106">
        <v>0</v>
      </c>
      <c r="T82" s="106">
        <v>2</v>
      </c>
      <c r="U82" s="106">
        <v>4.3899999999999997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9">
        <v>0</v>
      </c>
    </row>
    <row r="83" spans="1:30" x14ac:dyDescent="0.2">
      <c r="A83" s="19" t="s">
        <v>205</v>
      </c>
      <c r="B83" s="19" t="s">
        <v>209</v>
      </c>
      <c r="C83" s="20">
        <v>12742176.779999999</v>
      </c>
      <c r="D83" s="20">
        <v>1412052.1804</v>
      </c>
      <c r="E83" s="20">
        <v>2375821.2851</v>
      </c>
      <c r="F83" s="20">
        <v>0</v>
      </c>
      <c r="G83" s="20">
        <v>16530050.2454</v>
      </c>
      <c r="H83" s="19" t="s">
        <v>122</v>
      </c>
      <c r="I83" s="106">
        <v>132.476</v>
      </c>
      <c r="J83" s="106">
        <v>0</v>
      </c>
      <c r="K83" s="106">
        <v>0</v>
      </c>
      <c r="L83" s="106">
        <v>56.5</v>
      </c>
      <c r="M83" s="106">
        <v>11.07</v>
      </c>
      <c r="N83" s="106">
        <v>15.67</v>
      </c>
      <c r="O83" s="106">
        <v>6.15</v>
      </c>
      <c r="P83" s="106">
        <v>-6.84</v>
      </c>
      <c r="Q83" s="106">
        <v>13.68</v>
      </c>
      <c r="R83" s="106">
        <v>1</v>
      </c>
      <c r="S83" s="106">
        <v>5</v>
      </c>
      <c r="T83" s="106">
        <v>11</v>
      </c>
      <c r="U83" s="106">
        <v>19.246000000000002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9">
        <v>0</v>
      </c>
    </row>
    <row r="84" spans="1:30" x14ac:dyDescent="0.2">
      <c r="A84" s="19" t="s">
        <v>205</v>
      </c>
      <c r="B84" s="19" t="s">
        <v>210</v>
      </c>
      <c r="C84" s="20">
        <v>11538.6</v>
      </c>
      <c r="D84" s="20">
        <v>0</v>
      </c>
      <c r="E84" s="20">
        <v>0</v>
      </c>
      <c r="F84" s="20">
        <v>0</v>
      </c>
      <c r="G84" s="20">
        <v>11538.6</v>
      </c>
      <c r="H84" s="19" t="s">
        <v>122</v>
      </c>
      <c r="I84" s="106">
        <v>0.12000000000000001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-0.09</v>
      </c>
      <c r="Q84" s="106">
        <v>0.19</v>
      </c>
      <c r="R84" s="106">
        <v>0</v>
      </c>
      <c r="S84" s="106">
        <v>0</v>
      </c>
      <c r="T84" s="106">
        <v>0</v>
      </c>
      <c r="U84" s="106">
        <v>2.0000000000000004E-2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9">
        <v>0</v>
      </c>
    </row>
    <row r="85" spans="1:30" x14ac:dyDescent="0.2">
      <c r="A85" s="19" t="s">
        <v>205</v>
      </c>
      <c r="B85" s="19" t="s">
        <v>211</v>
      </c>
      <c r="C85" s="20">
        <v>9276942.6999999993</v>
      </c>
      <c r="D85" s="20">
        <v>387820.28739999997</v>
      </c>
      <c r="E85" s="20">
        <v>1439770.7382</v>
      </c>
      <c r="F85" s="20">
        <v>0</v>
      </c>
      <c r="G85" s="20">
        <v>11104533.7256</v>
      </c>
      <c r="H85" s="19" t="s">
        <v>122</v>
      </c>
      <c r="I85" s="106">
        <v>96.54</v>
      </c>
      <c r="J85" s="106">
        <v>0</v>
      </c>
      <c r="K85" s="106">
        <v>0</v>
      </c>
      <c r="L85" s="106">
        <v>0</v>
      </c>
      <c r="M85" s="106">
        <v>27.26</v>
      </c>
      <c r="N85" s="106">
        <v>20.5</v>
      </c>
      <c r="O85" s="106">
        <v>22.69</v>
      </c>
      <c r="P85" s="106">
        <v>0</v>
      </c>
      <c r="Q85" s="106">
        <v>0</v>
      </c>
      <c r="R85" s="106">
        <v>1</v>
      </c>
      <c r="S85" s="106">
        <v>3</v>
      </c>
      <c r="T85" s="106">
        <v>8</v>
      </c>
      <c r="U85" s="106">
        <v>14.090000000000002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9">
        <v>0</v>
      </c>
    </row>
    <row r="86" spans="1:30" x14ac:dyDescent="0.2">
      <c r="A86" s="19" t="s">
        <v>205</v>
      </c>
      <c r="B86" s="19" t="s">
        <v>212</v>
      </c>
      <c r="C86" s="20">
        <v>5242685.68</v>
      </c>
      <c r="D86" s="20">
        <v>103220.6231</v>
      </c>
      <c r="E86" s="20">
        <v>660485.7807</v>
      </c>
      <c r="F86" s="20">
        <v>0</v>
      </c>
      <c r="G86" s="20">
        <v>6006392.0838000001</v>
      </c>
      <c r="H86" s="19" t="s">
        <v>122</v>
      </c>
      <c r="I86" s="106">
        <v>54.456000000000003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40.380000000000003</v>
      </c>
      <c r="P86" s="106">
        <v>0</v>
      </c>
      <c r="Q86" s="106">
        <v>0</v>
      </c>
      <c r="R86" s="106">
        <v>1</v>
      </c>
      <c r="S86" s="106">
        <v>1</v>
      </c>
      <c r="T86" s="106">
        <v>4</v>
      </c>
      <c r="U86" s="106">
        <v>8.0760000000000005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9">
        <v>0</v>
      </c>
    </row>
    <row r="87" spans="1:30" x14ac:dyDescent="0.2">
      <c r="A87" s="19" t="s">
        <v>205</v>
      </c>
      <c r="B87" s="19" t="s">
        <v>213</v>
      </c>
      <c r="C87" s="20">
        <v>3999808.5</v>
      </c>
      <c r="D87" s="20">
        <v>270087.35979999998</v>
      </c>
      <c r="E87" s="20">
        <v>621935.26939999999</v>
      </c>
      <c r="F87" s="20">
        <v>0</v>
      </c>
      <c r="G87" s="20">
        <v>4891831.1292000003</v>
      </c>
      <c r="H87" s="19" t="s">
        <v>122</v>
      </c>
      <c r="I87" s="106">
        <v>41.3</v>
      </c>
      <c r="J87" s="106">
        <v>0</v>
      </c>
      <c r="K87" s="106">
        <v>0</v>
      </c>
      <c r="L87" s="106">
        <v>2.5</v>
      </c>
      <c r="M87" s="106">
        <v>0.48</v>
      </c>
      <c r="N87" s="106">
        <v>1.5</v>
      </c>
      <c r="O87" s="106">
        <v>25.77</v>
      </c>
      <c r="P87" s="106">
        <v>0</v>
      </c>
      <c r="Q87" s="106">
        <v>0</v>
      </c>
      <c r="R87" s="106">
        <v>1</v>
      </c>
      <c r="S87" s="106">
        <v>1</v>
      </c>
      <c r="T87" s="106">
        <v>3</v>
      </c>
      <c r="U87" s="106">
        <v>6.0500000000000007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9">
        <v>0</v>
      </c>
    </row>
    <row r="88" spans="1:30" x14ac:dyDescent="0.2">
      <c r="A88" s="19" t="s">
        <v>205</v>
      </c>
      <c r="B88" s="19" t="s">
        <v>214</v>
      </c>
      <c r="C88" s="20">
        <v>3714805.08</v>
      </c>
      <c r="D88" s="20">
        <v>415259.93479999999</v>
      </c>
      <c r="E88" s="20">
        <v>638711.88080000004</v>
      </c>
      <c r="F88" s="20">
        <v>0</v>
      </c>
      <c r="G88" s="20">
        <v>4768776.8956000004</v>
      </c>
      <c r="H88" s="19" t="s">
        <v>122</v>
      </c>
      <c r="I88" s="106">
        <v>38.335999999999999</v>
      </c>
      <c r="J88" s="106">
        <v>0</v>
      </c>
      <c r="K88" s="106">
        <v>12.28</v>
      </c>
      <c r="L88" s="106">
        <v>5.85</v>
      </c>
      <c r="M88" s="106">
        <v>3.69</v>
      </c>
      <c r="N88" s="106">
        <v>2.5</v>
      </c>
      <c r="O88" s="106">
        <v>3.46</v>
      </c>
      <c r="P88" s="106">
        <v>0</v>
      </c>
      <c r="Q88" s="106">
        <v>0</v>
      </c>
      <c r="R88" s="106">
        <v>1</v>
      </c>
      <c r="S88" s="106">
        <v>1</v>
      </c>
      <c r="T88" s="106">
        <v>3</v>
      </c>
      <c r="U88" s="106">
        <v>5.5560000000000009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9">
        <v>0</v>
      </c>
    </row>
    <row r="89" spans="1:30" x14ac:dyDescent="0.2">
      <c r="A89" s="19" t="s">
        <v>205</v>
      </c>
      <c r="B89" s="19" t="s">
        <v>215</v>
      </c>
      <c r="C89" s="20">
        <v>5242685.68</v>
      </c>
      <c r="D89" s="20">
        <v>804912.83389999997</v>
      </c>
      <c r="E89" s="20">
        <v>1069906.4890000001</v>
      </c>
      <c r="F89" s="20">
        <v>0</v>
      </c>
      <c r="G89" s="20">
        <v>7117505.0028999997</v>
      </c>
      <c r="H89" s="19" t="s">
        <v>122</v>
      </c>
      <c r="I89" s="106">
        <v>54.456000000000003</v>
      </c>
      <c r="J89" s="106">
        <v>0</v>
      </c>
      <c r="K89" s="106">
        <v>15.19</v>
      </c>
      <c r="L89" s="106">
        <v>7.15</v>
      </c>
      <c r="M89" s="106">
        <v>2.86</v>
      </c>
      <c r="N89" s="106">
        <v>6.33</v>
      </c>
      <c r="O89" s="106">
        <v>8.85</v>
      </c>
      <c r="P89" s="106">
        <v>0</v>
      </c>
      <c r="Q89" s="106">
        <v>0</v>
      </c>
      <c r="R89" s="106">
        <v>1</v>
      </c>
      <c r="S89" s="106">
        <v>1</v>
      </c>
      <c r="T89" s="106">
        <v>4</v>
      </c>
      <c r="U89" s="106">
        <v>8.0760000000000005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9">
        <v>0</v>
      </c>
    </row>
    <row r="90" spans="1:30" x14ac:dyDescent="0.2">
      <c r="A90" s="19" t="s">
        <v>205</v>
      </c>
      <c r="B90" s="19" t="s">
        <v>216</v>
      </c>
      <c r="C90" s="20">
        <v>6660383.9199999999</v>
      </c>
      <c r="D90" s="20">
        <v>976831.63569999998</v>
      </c>
      <c r="E90" s="20">
        <v>1442561.4317999999</v>
      </c>
      <c r="F90" s="20">
        <v>0</v>
      </c>
      <c r="G90" s="20">
        <v>9079776.9874000009</v>
      </c>
      <c r="H90" s="19" t="s">
        <v>122</v>
      </c>
      <c r="I90" s="106">
        <v>69.263999999999996</v>
      </c>
      <c r="J90" s="106">
        <v>0</v>
      </c>
      <c r="K90" s="106">
        <v>0</v>
      </c>
      <c r="L90" s="106">
        <v>24.55</v>
      </c>
      <c r="M90" s="106">
        <v>9.4</v>
      </c>
      <c r="N90" s="106">
        <v>8.83</v>
      </c>
      <c r="O90" s="106">
        <v>5.77</v>
      </c>
      <c r="P90" s="106">
        <v>-1.67</v>
      </c>
      <c r="Q90" s="106">
        <v>3.34</v>
      </c>
      <c r="R90" s="106">
        <v>1</v>
      </c>
      <c r="S90" s="106">
        <v>2</v>
      </c>
      <c r="T90" s="106">
        <v>6</v>
      </c>
      <c r="U90" s="106">
        <v>10.044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9">
        <v>0</v>
      </c>
    </row>
    <row r="91" spans="1:30" x14ac:dyDescent="0.2">
      <c r="A91" s="19" t="s">
        <v>205</v>
      </c>
      <c r="B91" s="19" t="s">
        <v>217</v>
      </c>
      <c r="C91" s="20">
        <v>10230619.26</v>
      </c>
      <c r="D91" s="20">
        <v>1474360.9826</v>
      </c>
      <c r="E91" s="20">
        <v>2145459.2650000001</v>
      </c>
      <c r="F91" s="20">
        <v>0</v>
      </c>
      <c r="G91" s="20">
        <v>13850439.5076</v>
      </c>
      <c r="H91" s="19" t="s">
        <v>122</v>
      </c>
      <c r="I91" s="106">
        <v>106.292</v>
      </c>
      <c r="J91" s="106">
        <v>0</v>
      </c>
      <c r="K91" s="106">
        <v>0</v>
      </c>
      <c r="L91" s="106">
        <v>34.65</v>
      </c>
      <c r="M91" s="106">
        <v>15.12</v>
      </c>
      <c r="N91" s="106">
        <v>9.17</v>
      </c>
      <c r="O91" s="106">
        <v>12.31</v>
      </c>
      <c r="P91" s="106">
        <v>-5.66</v>
      </c>
      <c r="Q91" s="106">
        <v>11.32</v>
      </c>
      <c r="R91" s="106">
        <v>1</v>
      </c>
      <c r="S91" s="106">
        <v>4</v>
      </c>
      <c r="T91" s="106">
        <v>9</v>
      </c>
      <c r="U91" s="106">
        <v>15.382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9">
        <v>0</v>
      </c>
    </row>
    <row r="92" spans="1:30" x14ac:dyDescent="0.2">
      <c r="A92" s="19" t="s">
        <v>205</v>
      </c>
      <c r="B92" s="19" t="s">
        <v>218</v>
      </c>
      <c r="C92" s="20">
        <v>3495571.68</v>
      </c>
      <c r="D92" s="20">
        <v>505776.10019999999</v>
      </c>
      <c r="E92" s="20">
        <v>674974.67240000004</v>
      </c>
      <c r="F92" s="20">
        <v>0</v>
      </c>
      <c r="G92" s="20">
        <v>4676322.4526000004</v>
      </c>
      <c r="H92" s="19" t="s">
        <v>122</v>
      </c>
      <c r="I92" s="106">
        <v>36.056000000000004</v>
      </c>
      <c r="J92" s="106">
        <v>0</v>
      </c>
      <c r="K92" s="106">
        <v>11.3</v>
      </c>
      <c r="L92" s="106">
        <v>4.25</v>
      </c>
      <c r="M92" s="106">
        <v>3.21</v>
      </c>
      <c r="N92" s="106">
        <v>2.5</v>
      </c>
      <c r="O92" s="106">
        <v>4.62</v>
      </c>
      <c r="P92" s="106">
        <v>0</v>
      </c>
      <c r="Q92" s="106">
        <v>0</v>
      </c>
      <c r="R92" s="106">
        <v>1</v>
      </c>
      <c r="S92" s="106">
        <v>1</v>
      </c>
      <c r="T92" s="106">
        <v>3</v>
      </c>
      <c r="U92" s="106">
        <v>5.1760000000000002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9">
        <v>0</v>
      </c>
    </row>
    <row r="93" spans="1:30" x14ac:dyDescent="0.2">
      <c r="A93" s="19" t="s">
        <v>205</v>
      </c>
      <c r="B93" s="19" t="s">
        <v>219</v>
      </c>
      <c r="C93" s="20">
        <v>4551523.54</v>
      </c>
      <c r="D93" s="20">
        <v>554488.90379999997</v>
      </c>
      <c r="E93" s="20">
        <v>827473.09660000005</v>
      </c>
      <c r="F93" s="20">
        <v>0</v>
      </c>
      <c r="G93" s="20">
        <v>5933485.5404000003</v>
      </c>
      <c r="H93" s="19" t="s">
        <v>122</v>
      </c>
      <c r="I93" s="106">
        <v>47.267999999999994</v>
      </c>
      <c r="J93" s="106">
        <v>0</v>
      </c>
      <c r="K93" s="106">
        <v>13.95</v>
      </c>
      <c r="L93" s="106">
        <v>5.7</v>
      </c>
      <c r="M93" s="106">
        <v>4.76</v>
      </c>
      <c r="N93" s="106">
        <v>3.83</v>
      </c>
      <c r="O93" s="106">
        <v>6.15</v>
      </c>
      <c r="P93" s="106">
        <v>0</v>
      </c>
      <c r="Q93" s="106">
        <v>0</v>
      </c>
      <c r="R93" s="106">
        <v>1</v>
      </c>
      <c r="S93" s="106">
        <v>1</v>
      </c>
      <c r="T93" s="106">
        <v>4</v>
      </c>
      <c r="U93" s="106">
        <v>6.8780000000000001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9">
        <v>0</v>
      </c>
    </row>
    <row r="94" spans="1:30" x14ac:dyDescent="0.2">
      <c r="A94" s="19" t="s">
        <v>205</v>
      </c>
      <c r="B94" s="19" t="s">
        <v>220</v>
      </c>
      <c r="C94" s="20">
        <v>5936743.7400000002</v>
      </c>
      <c r="D94" s="20">
        <v>857563.27650000004</v>
      </c>
      <c r="E94" s="20">
        <v>1242799.6913000001</v>
      </c>
      <c r="F94" s="20">
        <v>0</v>
      </c>
      <c r="G94" s="20">
        <v>8037106.7078</v>
      </c>
      <c r="H94" s="19" t="s">
        <v>122</v>
      </c>
      <c r="I94" s="106">
        <v>61.50800000000001</v>
      </c>
      <c r="J94" s="106">
        <v>0</v>
      </c>
      <c r="K94" s="106">
        <v>0</v>
      </c>
      <c r="L94" s="106">
        <v>22.1</v>
      </c>
      <c r="M94" s="106">
        <v>7.62</v>
      </c>
      <c r="N94" s="106">
        <v>6.83</v>
      </c>
      <c r="O94" s="106">
        <v>7.31</v>
      </c>
      <c r="P94" s="106">
        <v>-0.73</v>
      </c>
      <c r="Q94" s="106">
        <v>1.46</v>
      </c>
      <c r="R94" s="106">
        <v>1</v>
      </c>
      <c r="S94" s="106">
        <v>2</v>
      </c>
      <c r="T94" s="106">
        <v>5</v>
      </c>
      <c r="U94" s="106">
        <v>8.918000000000001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9">
        <v>0</v>
      </c>
    </row>
    <row r="95" spans="1:30" x14ac:dyDescent="0.2">
      <c r="A95" s="19" t="s">
        <v>205</v>
      </c>
      <c r="B95" s="19" t="s">
        <v>221</v>
      </c>
      <c r="C95" s="20">
        <v>3425186.22</v>
      </c>
      <c r="D95" s="20">
        <v>492997.34740000003</v>
      </c>
      <c r="E95" s="20">
        <v>672962.777</v>
      </c>
      <c r="F95" s="20">
        <v>0</v>
      </c>
      <c r="G95" s="20">
        <v>4591146.3443999998</v>
      </c>
      <c r="H95" s="19" t="s">
        <v>122</v>
      </c>
      <c r="I95" s="106">
        <v>35.323999999999998</v>
      </c>
      <c r="J95" s="106">
        <v>0</v>
      </c>
      <c r="K95" s="106">
        <v>9.51</v>
      </c>
      <c r="L95" s="106">
        <v>3.6</v>
      </c>
      <c r="M95" s="106">
        <v>3.81</v>
      </c>
      <c r="N95" s="106">
        <v>4.5</v>
      </c>
      <c r="O95" s="106">
        <v>3.85</v>
      </c>
      <c r="P95" s="106">
        <v>0</v>
      </c>
      <c r="Q95" s="106">
        <v>0</v>
      </c>
      <c r="R95" s="106">
        <v>1</v>
      </c>
      <c r="S95" s="106">
        <v>1</v>
      </c>
      <c r="T95" s="106">
        <v>3</v>
      </c>
      <c r="U95" s="106">
        <v>5.0540000000000003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9">
        <v>0</v>
      </c>
    </row>
    <row r="96" spans="1:30" x14ac:dyDescent="0.2">
      <c r="A96" s="19" t="s">
        <v>205</v>
      </c>
      <c r="B96" s="19" t="s">
        <v>222</v>
      </c>
      <c r="C96" s="20">
        <v>2562664.6</v>
      </c>
      <c r="D96" s="20">
        <v>360454.935</v>
      </c>
      <c r="E96" s="20">
        <v>503833.76610000001</v>
      </c>
      <c r="F96" s="20">
        <v>0</v>
      </c>
      <c r="G96" s="20">
        <v>3426953.3010999998</v>
      </c>
      <c r="H96" s="19" t="s">
        <v>122</v>
      </c>
      <c r="I96" s="106">
        <v>26.520000000000003</v>
      </c>
      <c r="J96" s="106">
        <v>0</v>
      </c>
      <c r="K96" s="106">
        <v>6.91</v>
      </c>
      <c r="L96" s="106">
        <v>3.65</v>
      </c>
      <c r="M96" s="106">
        <v>2.02</v>
      </c>
      <c r="N96" s="106">
        <v>3.17</v>
      </c>
      <c r="O96" s="106">
        <v>3.85</v>
      </c>
      <c r="P96" s="106">
        <v>0</v>
      </c>
      <c r="Q96" s="106">
        <v>0</v>
      </c>
      <c r="R96" s="106">
        <v>1</v>
      </c>
      <c r="S96" s="106">
        <v>0</v>
      </c>
      <c r="T96" s="106">
        <v>2</v>
      </c>
      <c r="U96" s="106">
        <v>3.9200000000000004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9">
        <v>0</v>
      </c>
    </row>
    <row r="97" spans="1:30" x14ac:dyDescent="0.2">
      <c r="A97" s="19" t="s">
        <v>205</v>
      </c>
      <c r="B97" s="19" t="s">
        <v>223</v>
      </c>
      <c r="C97" s="20">
        <v>5284224.6399999997</v>
      </c>
      <c r="D97" s="20">
        <v>555727.15509999997</v>
      </c>
      <c r="E97" s="20">
        <v>894968.94140000001</v>
      </c>
      <c r="F97" s="20">
        <v>0</v>
      </c>
      <c r="G97" s="20">
        <v>6734920.7363999998</v>
      </c>
      <c r="H97" s="19" t="s">
        <v>122</v>
      </c>
      <c r="I97" s="106">
        <v>54.887999999999998</v>
      </c>
      <c r="J97" s="106">
        <v>0</v>
      </c>
      <c r="K97" s="106">
        <v>20.56</v>
      </c>
      <c r="L97" s="106">
        <v>6.5</v>
      </c>
      <c r="M97" s="106">
        <v>5.12</v>
      </c>
      <c r="N97" s="106">
        <v>4.33</v>
      </c>
      <c r="O97" s="106">
        <v>4.2300000000000004</v>
      </c>
      <c r="P97" s="106">
        <v>0</v>
      </c>
      <c r="Q97" s="106">
        <v>0</v>
      </c>
      <c r="R97" s="106">
        <v>1</v>
      </c>
      <c r="S97" s="106">
        <v>1</v>
      </c>
      <c r="T97" s="106">
        <v>4</v>
      </c>
      <c r="U97" s="106">
        <v>8.1480000000000015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9">
        <v>0</v>
      </c>
    </row>
    <row r="98" spans="1:30" x14ac:dyDescent="0.2">
      <c r="A98" s="19" t="s">
        <v>205</v>
      </c>
      <c r="B98" s="19" t="s">
        <v>224</v>
      </c>
      <c r="C98" s="20">
        <v>6089053.2599999998</v>
      </c>
      <c r="D98" s="20">
        <v>1423146.9114000001</v>
      </c>
      <c r="E98" s="20">
        <v>1605427.6072</v>
      </c>
      <c r="F98" s="20">
        <v>0</v>
      </c>
      <c r="G98" s="20">
        <v>9117627.7785999998</v>
      </c>
      <c r="H98" s="19" t="s">
        <v>122</v>
      </c>
      <c r="I98" s="106">
        <v>63.091999999999999</v>
      </c>
      <c r="J98" s="106">
        <v>0</v>
      </c>
      <c r="K98" s="106">
        <v>10.31</v>
      </c>
      <c r="L98" s="106">
        <v>13.75</v>
      </c>
      <c r="M98" s="106">
        <v>6.55</v>
      </c>
      <c r="N98" s="106">
        <v>6.5</v>
      </c>
      <c r="O98" s="106">
        <v>8.4600000000000009</v>
      </c>
      <c r="P98" s="106">
        <v>-0.34</v>
      </c>
      <c r="Q98" s="106">
        <v>0.68</v>
      </c>
      <c r="R98" s="106">
        <v>1</v>
      </c>
      <c r="S98" s="106">
        <v>2</v>
      </c>
      <c r="T98" s="106">
        <v>5</v>
      </c>
      <c r="U98" s="106">
        <v>9.1820000000000004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9">
        <v>0</v>
      </c>
    </row>
    <row r="99" spans="1:30" x14ac:dyDescent="0.2">
      <c r="A99" s="19" t="s">
        <v>205</v>
      </c>
      <c r="B99" s="19" t="s">
        <v>225</v>
      </c>
      <c r="C99" s="20">
        <v>4129040.82</v>
      </c>
      <c r="D99" s="20">
        <v>461719.12119999999</v>
      </c>
      <c r="E99" s="20">
        <v>731323.96779999998</v>
      </c>
      <c r="F99" s="20">
        <v>0</v>
      </c>
      <c r="G99" s="20">
        <v>5322083.909</v>
      </c>
      <c r="H99" s="19" t="s">
        <v>122</v>
      </c>
      <c r="I99" s="106">
        <v>42.643999999999998</v>
      </c>
      <c r="J99" s="106">
        <v>0</v>
      </c>
      <c r="K99" s="106">
        <v>9.94</v>
      </c>
      <c r="L99" s="106">
        <v>4.6500000000000004</v>
      </c>
      <c r="M99" s="106">
        <v>1.9</v>
      </c>
      <c r="N99" s="106">
        <v>4.5</v>
      </c>
      <c r="O99" s="106">
        <v>10.38</v>
      </c>
      <c r="P99" s="106">
        <v>0</v>
      </c>
      <c r="Q99" s="106">
        <v>0</v>
      </c>
      <c r="R99" s="106">
        <v>1</v>
      </c>
      <c r="S99" s="106">
        <v>1</v>
      </c>
      <c r="T99" s="106">
        <v>3</v>
      </c>
      <c r="U99" s="106">
        <v>6.2740000000000009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9">
        <v>0</v>
      </c>
    </row>
    <row r="100" spans="1:30" x14ac:dyDescent="0.2">
      <c r="A100" s="19" t="s">
        <v>205</v>
      </c>
      <c r="B100" s="19" t="s">
        <v>226</v>
      </c>
      <c r="C100" s="20">
        <v>11161954.24</v>
      </c>
      <c r="D100" s="20">
        <v>1465841.8141000001</v>
      </c>
      <c r="E100" s="20">
        <v>2275161.6165999998</v>
      </c>
      <c r="F100" s="20">
        <v>0</v>
      </c>
      <c r="G100" s="20">
        <v>14902957.670700001</v>
      </c>
      <c r="H100" s="19" t="s">
        <v>122</v>
      </c>
      <c r="I100" s="106">
        <v>116.20800000000003</v>
      </c>
      <c r="J100" s="106">
        <v>0</v>
      </c>
      <c r="K100" s="106">
        <v>0</v>
      </c>
      <c r="L100" s="106">
        <v>37.15</v>
      </c>
      <c r="M100" s="106">
        <v>14.64</v>
      </c>
      <c r="N100" s="106">
        <v>15.33</v>
      </c>
      <c r="O100" s="106">
        <v>13.46</v>
      </c>
      <c r="P100" s="106">
        <v>-3.77</v>
      </c>
      <c r="Q100" s="106">
        <v>7.53</v>
      </c>
      <c r="R100" s="106">
        <v>1</v>
      </c>
      <c r="S100" s="106">
        <v>4</v>
      </c>
      <c r="T100" s="106">
        <v>10</v>
      </c>
      <c r="U100" s="106">
        <v>16.868000000000002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9">
        <v>0</v>
      </c>
    </row>
    <row r="101" spans="1:30" x14ac:dyDescent="0.2">
      <c r="A101" s="19" t="s">
        <v>205</v>
      </c>
      <c r="B101" s="19" t="s">
        <v>227</v>
      </c>
      <c r="C101" s="20">
        <v>4987682.62</v>
      </c>
      <c r="D101" s="20">
        <v>937876.25179999997</v>
      </c>
      <c r="E101" s="20">
        <v>1110679.8202</v>
      </c>
      <c r="F101" s="20">
        <v>0</v>
      </c>
      <c r="G101" s="20">
        <v>7036238.6919</v>
      </c>
      <c r="H101" s="19" t="s">
        <v>122</v>
      </c>
      <c r="I101" s="106">
        <v>51.803999999999995</v>
      </c>
      <c r="J101" s="106">
        <v>0</v>
      </c>
      <c r="K101" s="106">
        <v>16.79</v>
      </c>
      <c r="L101" s="106">
        <v>7.5</v>
      </c>
      <c r="M101" s="106">
        <v>2.86</v>
      </c>
      <c r="N101" s="106">
        <v>3.33</v>
      </c>
      <c r="O101" s="106">
        <v>7.69</v>
      </c>
      <c r="P101" s="106">
        <v>0</v>
      </c>
      <c r="Q101" s="106">
        <v>0</v>
      </c>
      <c r="R101" s="106">
        <v>1</v>
      </c>
      <c r="S101" s="106">
        <v>1</v>
      </c>
      <c r="T101" s="106">
        <v>4</v>
      </c>
      <c r="U101" s="106">
        <v>7.6340000000000003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9">
        <v>0</v>
      </c>
    </row>
    <row r="102" spans="1:30" x14ac:dyDescent="0.2">
      <c r="A102" s="19" t="s">
        <v>205</v>
      </c>
      <c r="B102" s="19" t="s">
        <v>228</v>
      </c>
      <c r="C102" s="20">
        <v>1058259.58</v>
      </c>
      <c r="D102" s="20">
        <v>167040.09179999999</v>
      </c>
      <c r="E102" s="20">
        <v>232000.74129999999</v>
      </c>
      <c r="F102" s="20">
        <v>0</v>
      </c>
      <c r="G102" s="20">
        <v>1457300.4132000001</v>
      </c>
      <c r="H102" s="19" t="s">
        <v>122</v>
      </c>
      <c r="I102" s="106">
        <v>11.235999999999999</v>
      </c>
      <c r="J102" s="106">
        <v>0</v>
      </c>
      <c r="K102" s="106">
        <v>2.96</v>
      </c>
      <c r="L102" s="106">
        <v>0</v>
      </c>
      <c r="M102" s="106">
        <v>1.43</v>
      </c>
      <c r="N102" s="106">
        <v>1.83</v>
      </c>
      <c r="O102" s="106">
        <v>2.31</v>
      </c>
      <c r="P102" s="106">
        <v>0</v>
      </c>
      <c r="Q102" s="106">
        <v>0</v>
      </c>
      <c r="R102" s="106">
        <v>0</v>
      </c>
      <c r="S102" s="106">
        <v>0</v>
      </c>
      <c r="T102" s="106">
        <v>1</v>
      </c>
      <c r="U102" s="106">
        <v>1.706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9">
        <v>0</v>
      </c>
    </row>
    <row r="103" spans="1:30" x14ac:dyDescent="0.2">
      <c r="A103" s="19" t="s">
        <v>205</v>
      </c>
      <c r="B103" s="19" t="s">
        <v>229</v>
      </c>
      <c r="C103" s="20">
        <v>10523699.699999999</v>
      </c>
      <c r="D103" s="20">
        <v>194207.32399999999</v>
      </c>
      <c r="E103" s="20">
        <v>1287548.1383</v>
      </c>
      <c r="F103" s="20">
        <v>0</v>
      </c>
      <c r="G103" s="20">
        <v>12005455.1623</v>
      </c>
      <c r="H103" s="19" t="s">
        <v>122</v>
      </c>
      <c r="I103" s="106">
        <v>109.34</v>
      </c>
      <c r="J103" s="106">
        <v>0</v>
      </c>
      <c r="K103" s="106">
        <v>0</v>
      </c>
      <c r="L103" s="106">
        <v>0</v>
      </c>
      <c r="M103" s="106">
        <v>0</v>
      </c>
      <c r="N103" s="106">
        <v>2.17</v>
      </c>
      <c r="O103" s="106">
        <v>76.540000000000006</v>
      </c>
      <c r="P103" s="106">
        <v>-0.75</v>
      </c>
      <c r="Q103" s="106">
        <v>1.49</v>
      </c>
      <c r="R103" s="106">
        <v>1</v>
      </c>
      <c r="S103" s="106">
        <v>4</v>
      </c>
      <c r="T103" s="106">
        <v>9</v>
      </c>
      <c r="U103" s="106">
        <v>15.89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9">
        <v>0</v>
      </c>
    </row>
    <row r="104" spans="1:30" x14ac:dyDescent="0.2">
      <c r="A104" s="19" t="s">
        <v>205</v>
      </c>
      <c r="B104" s="19" t="s">
        <v>230</v>
      </c>
      <c r="C104" s="20">
        <v>8057142.7199999997</v>
      </c>
      <c r="D104" s="20">
        <v>1013038.1017999999</v>
      </c>
      <c r="E104" s="20">
        <v>1605427.6072</v>
      </c>
      <c r="F104" s="20">
        <v>0</v>
      </c>
      <c r="G104" s="20">
        <v>10675608.429</v>
      </c>
      <c r="H104" s="19" t="s">
        <v>122</v>
      </c>
      <c r="I104" s="106">
        <v>83.623999999999995</v>
      </c>
      <c r="J104" s="106">
        <v>0</v>
      </c>
      <c r="K104" s="106">
        <v>0</v>
      </c>
      <c r="L104" s="106">
        <v>25.7</v>
      </c>
      <c r="M104" s="106">
        <v>11.31</v>
      </c>
      <c r="N104" s="106">
        <v>10.17</v>
      </c>
      <c r="O104" s="106">
        <v>11.92</v>
      </c>
      <c r="P104" s="106">
        <v>-1.42</v>
      </c>
      <c r="Q104" s="106">
        <v>2.84</v>
      </c>
      <c r="R104" s="106">
        <v>1</v>
      </c>
      <c r="S104" s="106">
        <v>3</v>
      </c>
      <c r="T104" s="106">
        <v>7</v>
      </c>
      <c r="U104" s="106">
        <v>12.104000000000001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9">
        <v>0</v>
      </c>
    </row>
    <row r="105" spans="1:30" x14ac:dyDescent="0.2">
      <c r="A105" s="19" t="s">
        <v>205</v>
      </c>
      <c r="B105" s="19" t="s">
        <v>231</v>
      </c>
      <c r="C105" s="20">
        <v>4887296.8</v>
      </c>
      <c r="D105" s="20">
        <v>726581.06070000003</v>
      </c>
      <c r="E105" s="20">
        <v>980068.87060000002</v>
      </c>
      <c r="F105" s="20">
        <v>0</v>
      </c>
      <c r="G105" s="20">
        <v>6593946.7313000001</v>
      </c>
      <c r="H105" s="19" t="s">
        <v>122</v>
      </c>
      <c r="I105" s="106">
        <v>50.76</v>
      </c>
      <c r="J105" s="106">
        <v>0</v>
      </c>
      <c r="K105" s="106">
        <v>13.02</v>
      </c>
      <c r="L105" s="106">
        <v>6</v>
      </c>
      <c r="M105" s="106">
        <v>3.57</v>
      </c>
      <c r="N105" s="106">
        <v>3.17</v>
      </c>
      <c r="O105" s="106">
        <v>11.54</v>
      </c>
      <c r="P105" s="106">
        <v>0</v>
      </c>
      <c r="Q105" s="106">
        <v>0</v>
      </c>
      <c r="R105" s="106">
        <v>1</v>
      </c>
      <c r="S105" s="106">
        <v>1</v>
      </c>
      <c r="T105" s="106">
        <v>4</v>
      </c>
      <c r="U105" s="106">
        <v>7.46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9">
        <v>0</v>
      </c>
    </row>
    <row r="106" spans="1:30" x14ac:dyDescent="0.2">
      <c r="A106" s="19" t="s">
        <v>205</v>
      </c>
      <c r="B106" s="19" t="s">
        <v>232</v>
      </c>
      <c r="C106" s="20">
        <v>1686151.73</v>
      </c>
      <c r="D106" s="20">
        <v>296833.58649999998</v>
      </c>
      <c r="E106" s="20">
        <v>401470.47649999999</v>
      </c>
      <c r="F106" s="20">
        <v>0</v>
      </c>
      <c r="G106" s="20">
        <v>2384455.7930000001</v>
      </c>
      <c r="H106" s="19" t="s">
        <v>122</v>
      </c>
      <c r="I106" s="106">
        <v>17.765999999999998</v>
      </c>
      <c r="J106" s="106">
        <v>0</v>
      </c>
      <c r="K106" s="106">
        <v>4.32</v>
      </c>
      <c r="L106" s="106">
        <v>0</v>
      </c>
      <c r="M106" s="106">
        <v>3.69</v>
      </c>
      <c r="N106" s="106">
        <v>2.5</v>
      </c>
      <c r="O106" s="106">
        <v>3.46</v>
      </c>
      <c r="P106" s="106">
        <v>0</v>
      </c>
      <c r="Q106" s="106">
        <v>0</v>
      </c>
      <c r="R106" s="106">
        <v>0</v>
      </c>
      <c r="S106" s="106">
        <v>0</v>
      </c>
      <c r="T106" s="106">
        <v>1</v>
      </c>
      <c r="U106" s="106">
        <v>2.7960000000000003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9">
        <v>0</v>
      </c>
    </row>
    <row r="107" spans="1:30" x14ac:dyDescent="0.2">
      <c r="A107" s="19" t="s">
        <v>205</v>
      </c>
      <c r="B107" s="19" t="s">
        <v>233</v>
      </c>
      <c r="C107" s="20">
        <v>6104053.4400000004</v>
      </c>
      <c r="D107" s="20">
        <v>1443652.3518999999</v>
      </c>
      <c r="E107" s="20">
        <v>1631030.5983</v>
      </c>
      <c r="F107" s="20">
        <v>0</v>
      </c>
      <c r="G107" s="20">
        <v>9178736.3902000003</v>
      </c>
      <c r="H107" s="19" t="s">
        <v>122</v>
      </c>
      <c r="I107" s="106">
        <v>63.247999999999998</v>
      </c>
      <c r="J107" s="106">
        <v>0</v>
      </c>
      <c r="K107" s="106">
        <v>9.69</v>
      </c>
      <c r="L107" s="106">
        <v>13.2</v>
      </c>
      <c r="M107" s="106">
        <v>7.14</v>
      </c>
      <c r="N107" s="106">
        <v>8</v>
      </c>
      <c r="O107" s="106">
        <v>7.69</v>
      </c>
      <c r="P107" s="106">
        <v>-0.32</v>
      </c>
      <c r="Q107" s="106">
        <v>0.64</v>
      </c>
      <c r="R107" s="106">
        <v>1</v>
      </c>
      <c r="S107" s="106">
        <v>2</v>
      </c>
      <c r="T107" s="106">
        <v>5</v>
      </c>
      <c r="U107" s="106">
        <v>9.2080000000000002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9">
        <v>0</v>
      </c>
    </row>
    <row r="108" spans="1:30" x14ac:dyDescent="0.2">
      <c r="A108" s="19" t="s">
        <v>205</v>
      </c>
      <c r="B108" s="19" t="s">
        <v>234</v>
      </c>
      <c r="C108" s="20">
        <v>3658265.94</v>
      </c>
      <c r="D108" s="20">
        <v>301836.12150000001</v>
      </c>
      <c r="E108" s="20">
        <v>554471.87459999998</v>
      </c>
      <c r="F108" s="20">
        <v>0</v>
      </c>
      <c r="G108" s="20">
        <v>4514573.9360999996</v>
      </c>
      <c r="H108" s="19" t="s">
        <v>122</v>
      </c>
      <c r="I108" s="106">
        <v>37.747999999999998</v>
      </c>
      <c r="J108" s="106">
        <v>0</v>
      </c>
      <c r="K108" s="106">
        <v>12.1</v>
      </c>
      <c r="L108" s="106">
        <v>4.4000000000000004</v>
      </c>
      <c r="M108" s="106">
        <v>2.14</v>
      </c>
      <c r="N108" s="106">
        <v>2.5</v>
      </c>
      <c r="O108" s="106">
        <v>6.15</v>
      </c>
      <c r="P108" s="106">
        <v>0</v>
      </c>
      <c r="Q108" s="106">
        <v>0</v>
      </c>
      <c r="R108" s="106">
        <v>1</v>
      </c>
      <c r="S108" s="106">
        <v>1</v>
      </c>
      <c r="T108" s="106">
        <v>3</v>
      </c>
      <c r="U108" s="106">
        <v>5.4580000000000002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9">
        <v>0</v>
      </c>
    </row>
    <row r="109" spans="1:30" x14ac:dyDescent="0.2">
      <c r="A109" s="19" t="s">
        <v>205</v>
      </c>
      <c r="B109" s="19" t="s">
        <v>235</v>
      </c>
      <c r="C109" s="20">
        <v>2733435.88</v>
      </c>
      <c r="D109" s="20">
        <v>264762.87939999998</v>
      </c>
      <c r="E109" s="20">
        <v>449285.44150000002</v>
      </c>
      <c r="F109" s="20">
        <v>0</v>
      </c>
      <c r="G109" s="20">
        <v>3447484.2009999999</v>
      </c>
      <c r="H109" s="19" t="s">
        <v>122</v>
      </c>
      <c r="I109" s="106">
        <v>28.295999999999999</v>
      </c>
      <c r="J109" s="106">
        <v>0</v>
      </c>
      <c r="K109" s="106">
        <v>10.119999999999999</v>
      </c>
      <c r="L109" s="106">
        <v>3.9</v>
      </c>
      <c r="M109" s="106">
        <v>2.14</v>
      </c>
      <c r="N109" s="106">
        <v>3</v>
      </c>
      <c r="O109" s="106">
        <v>1.92</v>
      </c>
      <c r="P109" s="106">
        <v>0</v>
      </c>
      <c r="Q109" s="106">
        <v>0</v>
      </c>
      <c r="R109" s="106">
        <v>1</v>
      </c>
      <c r="S109" s="106">
        <v>0</v>
      </c>
      <c r="T109" s="106">
        <v>2</v>
      </c>
      <c r="U109" s="106">
        <v>4.2160000000000002</v>
      </c>
      <c r="V109" s="106">
        <v>0</v>
      </c>
      <c r="W109" s="106">
        <v>0</v>
      </c>
      <c r="X109" s="106">
        <v>0</v>
      </c>
      <c r="Y109" s="106">
        <v>0</v>
      </c>
      <c r="Z109" s="106">
        <v>0</v>
      </c>
      <c r="AA109" s="106">
        <v>0</v>
      </c>
      <c r="AB109" s="106">
        <v>0</v>
      </c>
      <c r="AC109" s="106">
        <v>0</v>
      </c>
      <c r="AD109" s="19">
        <v>0</v>
      </c>
    </row>
    <row r="110" spans="1:30" x14ac:dyDescent="0.2">
      <c r="A110" s="19" t="s">
        <v>205</v>
      </c>
      <c r="B110" s="19" t="s">
        <v>236</v>
      </c>
      <c r="C110" s="20">
        <v>175865868.16999999</v>
      </c>
      <c r="D110" s="20">
        <v>19251141.508099999</v>
      </c>
      <c r="E110" s="20">
        <v>32123414.208900001</v>
      </c>
      <c r="F110" s="20">
        <v>3689824.3228000002</v>
      </c>
      <c r="G110" s="20">
        <v>230930248.2098</v>
      </c>
      <c r="H110" s="19" t="s">
        <v>144</v>
      </c>
      <c r="I110" s="106">
        <v>1825.2140000000004</v>
      </c>
      <c r="J110" s="106">
        <v>27.874626666666671</v>
      </c>
      <c r="K110" s="106">
        <v>198.09</v>
      </c>
      <c r="L110" s="106">
        <v>301.35000000000002</v>
      </c>
      <c r="M110" s="106">
        <v>158.93</v>
      </c>
      <c r="N110" s="106">
        <v>158.33000000000001</v>
      </c>
      <c r="O110" s="106">
        <v>491.54</v>
      </c>
      <c r="P110" s="106">
        <v>-23.62</v>
      </c>
      <c r="Q110" s="106">
        <v>47.23</v>
      </c>
      <c r="R110" s="106">
        <v>27</v>
      </c>
      <c r="S110" s="106">
        <v>54</v>
      </c>
      <c r="T110" s="106">
        <v>146</v>
      </c>
      <c r="U110" s="106">
        <v>266.36400000000003</v>
      </c>
      <c r="V110" s="106">
        <v>1</v>
      </c>
      <c r="W110" s="106">
        <v>1</v>
      </c>
      <c r="X110" s="106">
        <v>2</v>
      </c>
      <c r="Y110" s="106">
        <v>6</v>
      </c>
      <c r="Z110" s="106">
        <v>12.168093333333337</v>
      </c>
      <c r="AA110" s="106">
        <v>1</v>
      </c>
      <c r="AB110" s="106">
        <v>2</v>
      </c>
      <c r="AC110" s="106">
        <v>1.7065333333333332</v>
      </c>
      <c r="AD110" s="19">
        <v>1</v>
      </c>
    </row>
    <row r="111" spans="1:30" x14ac:dyDescent="0.2">
      <c r="A111" s="19" t="s">
        <v>237</v>
      </c>
      <c r="B111" s="19" t="s">
        <v>238</v>
      </c>
      <c r="C111" s="20">
        <v>8098681.6799999997</v>
      </c>
      <c r="D111" s="20">
        <v>847607.73659999995</v>
      </c>
      <c r="E111" s="20">
        <v>1529592.1316</v>
      </c>
      <c r="F111" s="20">
        <v>0</v>
      </c>
      <c r="G111" s="20">
        <v>10475881.5482</v>
      </c>
      <c r="H111" s="19" t="s">
        <v>122</v>
      </c>
      <c r="I111" s="106">
        <v>84.055999999999997</v>
      </c>
      <c r="J111" s="106">
        <v>0</v>
      </c>
      <c r="K111" s="106">
        <v>0</v>
      </c>
      <c r="L111" s="106">
        <v>33.549999999999997</v>
      </c>
      <c r="M111" s="106">
        <v>12.26</v>
      </c>
      <c r="N111" s="106">
        <v>10</v>
      </c>
      <c r="O111" s="106">
        <v>3.85</v>
      </c>
      <c r="P111" s="106">
        <v>-1.22</v>
      </c>
      <c r="Q111" s="106">
        <v>2.44</v>
      </c>
      <c r="R111" s="106">
        <v>1</v>
      </c>
      <c r="S111" s="106">
        <v>3</v>
      </c>
      <c r="T111" s="106">
        <v>7</v>
      </c>
      <c r="U111" s="106">
        <v>12.176000000000002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9">
        <v>0</v>
      </c>
    </row>
    <row r="112" spans="1:30" x14ac:dyDescent="0.2">
      <c r="A112" s="19" t="s">
        <v>237</v>
      </c>
      <c r="B112" s="19" t="s">
        <v>239</v>
      </c>
      <c r="C112" s="20">
        <v>4063270.8</v>
      </c>
      <c r="D112" s="20">
        <v>817567.76159999997</v>
      </c>
      <c r="E112" s="20">
        <v>943011.05590000004</v>
      </c>
      <c r="F112" s="20">
        <v>0</v>
      </c>
      <c r="G112" s="20">
        <v>5823849.6174999997</v>
      </c>
      <c r="H112" s="19" t="s">
        <v>122</v>
      </c>
      <c r="I112" s="106">
        <v>41.959999999999994</v>
      </c>
      <c r="J112" s="106">
        <v>0</v>
      </c>
      <c r="K112" s="106">
        <v>14.01</v>
      </c>
      <c r="L112" s="106">
        <v>5.95</v>
      </c>
      <c r="M112" s="106">
        <v>2.86</v>
      </c>
      <c r="N112" s="106">
        <v>5.67</v>
      </c>
      <c r="O112" s="106">
        <v>2.31</v>
      </c>
      <c r="P112" s="106">
        <v>0</v>
      </c>
      <c r="Q112" s="106">
        <v>0</v>
      </c>
      <c r="R112" s="106">
        <v>1</v>
      </c>
      <c r="S112" s="106">
        <v>1</v>
      </c>
      <c r="T112" s="106">
        <v>3</v>
      </c>
      <c r="U112" s="106">
        <v>6.16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9">
        <v>0</v>
      </c>
    </row>
    <row r="113" spans="1:30" x14ac:dyDescent="0.2">
      <c r="A113" s="19" t="s">
        <v>237</v>
      </c>
      <c r="B113" s="19" t="s">
        <v>240</v>
      </c>
      <c r="C113" s="20">
        <v>2736897.46</v>
      </c>
      <c r="D113" s="20">
        <v>489109.23849999998</v>
      </c>
      <c r="E113" s="20">
        <v>603665.96140000003</v>
      </c>
      <c r="F113" s="20">
        <v>0</v>
      </c>
      <c r="G113" s="20">
        <v>3829672.66</v>
      </c>
      <c r="H113" s="19" t="s">
        <v>122</v>
      </c>
      <c r="I113" s="106">
        <v>28.332000000000001</v>
      </c>
      <c r="J113" s="106">
        <v>0</v>
      </c>
      <c r="K113" s="106">
        <v>9.3800000000000008</v>
      </c>
      <c r="L113" s="106">
        <v>4.05</v>
      </c>
      <c r="M113" s="106">
        <v>2.86</v>
      </c>
      <c r="N113" s="106">
        <v>3.67</v>
      </c>
      <c r="O113" s="106">
        <v>1.1499999999999999</v>
      </c>
      <c r="P113" s="106">
        <v>0</v>
      </c>
      <c r="Q113" s="106">
        <v>0</v>
      </c>
      <c r="R113" s="106">
        <v>1</v>
      </c>
      <c r="S113" s="106">
        <v>0</v>
      </c>
      <c r="T113" s="106">
        <v>2</v>
      </c>
      <c r="U113" s="106">
        <v>4.2220000000000004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9">
        <v>0</v>
      </c>
    </row>
    <row r="114" spans="1:30" x14ac:dyDescent="0.2">
      <c r="A114" s="19" t="s">
        <v>237</v>
      </c>
      <c r="B114" s="19" t="s">
        <v>241</v>
      </c>
      <c r="C114" s="20">
        <v>4474214.92</v>
      </c>
      <c r="D114" s="20">
        <v>885745.87470000004</v>
      </c>
      <c r="E114" s="20">
        <v>1030739.4291</v>
      </c>
      <c r="F114" s="20">
        <v>0</v>
      </c>
      <c r="G114" s="20">
        <v>6390700.2237999998</v>
      </c>
      <c r="H114" s="19" t="s">
        <v>122</v>
      </c>
      <c r="I114" s="106">
        <v>46.463999999999999</v>
      </c>
      <c r="J114" s="106">
        <v>0</v>
      </c>
      <c r="K114" s="106">
        <v>15.68</v>
      </c>
      <c r="L114" s="106">
        <v>5.15</v>
      </c>
      <c r="M114" s="106">
        <v>4.6399999999999997</v>
      </c>
      <c r="N114" s="106">
        <v>5.17</v>
      </c>
      <c r="O114" s="106">
        <v>3.08</v>
      </c>
      <c r="P114" s="106">
        <v>0</v>
      </c>
      <c r="Q114" s="106">
        <v>0</v>
      </c>
      <c r="R114" s="106">
        <v>1</v>
      </c>
      <c r="S114" s="106">
        <v>1</v>
      </c>
      <c r="T114" s="106">
        <v>4</v>
      </c>
      <c r="U114" s="106">
        <v>6.7439999999999998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9">
        <v>0</v>
      </c>
    </row>
    <row r="115" spans="1:30" x14ac:dyDescent="0.2">
      <c r="A115" s="19" t="s">
        <v>237</v>
      </c>
      <c r="B115" s="19" t="s">
        <v>242</v>
      </c>
      <c r="C115" s="20">
        <v>4498445.9800000004</v>
      </c>
      <c r="D115" s="20">
        <v>42447.252399999998</v>
      </c>
      <c r="E115" s="20">
        <v>482335.69050000003</v>
      </c>
      <c r="F115" s="20">
        <v>0</v>
      </c>
      <c r="G115" s="20">
        <v>5023228.9228999997</v>
      </c>
      <c r="H115" s="19" t="s">
        <v>122</v>
      </c>
      <c r="I115" s="106">
        <v>46.716000000000001</v>
      </c>
      <c r="J115" s="106">
        <v>0</v>
      </c>
      <c r="K115" s="106">
        <v>0</v>
      </c>
      <c r="L115" s="106">
        <v>0</v>
      </c>
      <c r="M115" s="106">
        <v>0</v>
      </c>
      <c r="N115" s="106">
        <v>3.83</v>
      </c>
      <c r="O115" s="106">
        <v>26.54</v>
      </c>
      <c r="P115" s="106">
        <v>-3.57</v>
      </c>
      <c r="Q115" s="106">
        <v>7.13</v>
      </c>
      <c r="R115" s="106">
        <v>1</v>
      </c>
      <c r="S115" s="106">
        <v>1</v>
      </c>
      <c r="T115" s="106">
        <v>4</v>
      </c>
      <c r="U115" s="106">
        <v>6.7860000000000005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9">
        <v>0</v>
      </c>
    </row>
    <row r="116" spans="1:30" x14ac:dyDescent="0.2">
      <c r="A116" s="19" t="s">
        <v>237</v>
      </c>
      <c r="B116" s="19" t="s">
        <v>243</v>
      </c>
      <c r="C116" s="20">
        <v>5718664.2000000002</v>
      </c>
      <c r="D116" s="20">
        <v>1013681.9925000001</v>
      </c>
      <c r="E116" s="20">
        <v>1343491.8097000001</v>
      </c>
      <c r="F116" s="20">
        <v>0</v>
      </c>
      <c r="G116" s="20">
        <v>8075838.0021000002</v>
      </c>
      <c r="H116" s="19" t="s">
        <v>122</v>
      </c>
      <c r="I116" s="106">
        <v>59.24</v>
      </c>
      <c r="J116" s="106">
        <v>0</v>
      </c>
      <c r="K116" s="106">
        <v>0</v>
      </c>
      <c r="L116" s="106">
        <v>21.8</v>
      </c>
      <c r="M116" s="106">
        <v>8.4499999999999993</v>
      </c>
      <c r="N116" s="106">
        <v>10.67</v>
      </c>
      <c r="O116" s="106">
        <v>0</v>
      </c>
      <c r="P116" s="106">
        <v>-1.79</v>
      </c>
      <c r="Q116" s="106">
        <v>3.57</v>
      </c>
      <c r="R116" s="106">
        <v>1</v>
      </c>
      <c r="S116" s="106">
        <v>2</v>
      </c>
      <c r="T116" s="106">
        <v>5</v>
      </c>
      <c r="U116" s="106">
        <v>8.5400000000000009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9">
        <v>0</v>
      </c>
    </row>
    <row r="117" spans="1:30" x14ac:dyDescent="0.2">
      <c r="A117" s="19" t="s">
        <v>237</v>
      </c>
      <c r="B117" s="19" t="s">
        <v>244</v>
      </c>
      <c r="C117" s="20">
        <v>3525572.04</v>
      </c>
      <c r="D117" s="20">
        <v>628263.91249999998</v>
      </c>
      <c r="E117" s="20">
        <v>761356.3737</v>
      </c>
      <c r="F117" s="20">
        <v>0</v>
      </c>
      <c r="G117" s="20">
        <v>4915192.3262</v>
      </c>
      <c r="H117" s="19" t="s">
        <v>122</v>
      </c>
      <c r="I117" s="106">
        <v>36.368000000000002</v>
      </c>
      <c r="J117" s="106">
        <v>0</v>
      </c>
      <c r="K117" s="106">
        <v>11.85</v>
      </c>
      <c r="L117" s="106">
        <v>4.8499999999999996</v>
      </c>
      <c r="M117" s="106">
        <v>3.57</v>
      </c>
      <c r="N117" s="106">
        <v>4.33</v>
      </c>
      <c r="O117" s="106">
        <v>1.54</v>
      </c>
      <c r="P117" s="106">
        <v>0</v>
      </c>
      <c r="Q117" s="106">
        <v>0</v>
      </c>
      <c r="R117" s="106">
        <v>1</v>
      </c>
      <c r="S117" s="106">
        <v>1</v>
      </c>
      <c r="T117" s="106">
        <v>3</v>
      </c>
      <c r="U117" s="106">
        <v>5.2280000000000006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9">
        <v>0</v>
      </c>
    </row>
    <row r="118" spans="1:30" x14ac:dyDescent="0.2">
      <c r="A118" s="19" t="s">
        <v>237</v>
      </c>
      <c r="B118" s="19" t="s">
        <v>245</v>
      </c>
      <c r="C118" s="20">
        <v>23325370</v>
      </c>
      <c r="D118" s="20">
        <v>2651739.7886000001</v>
      </c>
      <c r="E118" s="20">
        <v>4485975.0312000001</v>
      </c>
      <c r="F118" s="20">
        <v>0</v>
      </c>
      <c r="G118" s="20">
        <v>30463084.819800001</v>
      </c>
      <c r="H118" s="19" t="s">
        <v>122</v>
      </c>
      <c r="I118" s="106">
        <v>242.4</v>
      </c>
      <c r="J118" s="106">
        <v>0</v>
      </c>
      <c r="K118" s="106">
        <v>0</v>
      </c>
      <c r="L118" s="106">
        <v>72.400000000000006</v>
      </c>
      <c r="M118" s="106">
        <v>23.57</v>
      </c>
      <c r="N118" s="106">
        <v>53.17</v>
      </c>
      <c r="O118" s="106">
        <v>16.149999999999999</v>
      </c>
      <c r="P118" s="106">
        <v>-11.71</v>
      </c>
      <c r="Q118" s="106">
        <v>23.42</v>
      </c>
      <c r="R118" s="106">
        <v>1</v>
      </c>
      <c r="S118" s="106">
        <v>10</v>
      </c>
      <c r="T118" s="106">
        <v>19</v>
      </c>
      <c r="U118" s="106">
        <v>35.4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9">
        <v>0</v>
      </c>
    </row>
    <row r="119" spans="1:30" x14ac:dyDescent="0.2">
      <c r="A119" s="19" t="s">
        <v>237</v>
      </c>
      <c r="B119" s="19" t="s">
        <v>246</v>
      </c>
      <c r="C119" s="20">
        <v>3840575.82</v>
      </c>
      <c r="D119" s="20">
        <v>591017.31530000002</v>
      </c>
      <c r="E119" s="20">
        <v>764179.5172</v>
      </c>
      <c r="F119" s="20">
        <v>0</v>
      </c>
      <c r="G119" s="20">
        <v>5195772.6524999999</v>
      </c>
      <c r="H119" s="19" t="s">
        <v>122</v>
      </c>
      <c r="I119" s="106">
        <v>39.643999999999991</v>
      </c>
      <c r="J119" s="106">
        <v>0</v>
      </c>
      <c r="K119" s="106">
        <v>13.52</v>
      </c>
      <c r="L119" s="106">
        <v>5.85</v>
      </c>
      <c r="M119" s="106">
        <v>2.02</v>
      </c>
      <c r="N119" s="106">
        <v>5.17</v>
      </c>
      <c r="O119" s="106">
        <v>2.31</v>
      </c>
      <c r="P119" s="106">
        <v>0</v>
      </c>
      <c r="Q119" s="106">
        <v>0</v>
      </c>
      <c r="R119" s="106">
        <v>1</v>
      </c>
      <c r="S119" s="106">
        <v>1</v>
      </c>
      <c r="T119" s="106">
        <v>3</v>
      </c>
      <c r="U119" s="106">
        <v>5.7740000000000009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9">
        <v>0</v>
      </c>
    </row>
    <row r="120" spans="1:30" x14ac:dyDescent="0.2">
      <c r="A120" s="19" t="s">
        <v>237</v>
      </c>
      <c r="B120" s="19" t="s">
        <v>247</v>
      </c>
      <c r="C120" s="20">
        <v>8082527.6399999997</v>
      </c>
      <c r="D120" s="20">
        <v>885201.04410000006</v>
      </c>
      <c r="E120" s="20">
        <v>1530760.3289000001</v>
      </c>
      <c r="F120" s="20">
        <v>0</v>
      </c>
      <c r="G120" s="20">
        <v>10498489.013</v>
      </c>
      <c r="H120" s="19" t="s">
        <v>122</v>
      </c>
      <c r="I120" s="106">
        <v>83.888000000000005</v>
      </c>
      <c r="J120" s="106">
        <v>0</v>
      </c>
      <c r="K120" s="106">
        <v>0</v>
      </c>
      <c r="L120" s="106">
        <v>19.8</v>
      </c>
      <c r="M120" s="106">
        <v>8.33</v>
      </c>
      <c r="N120" s="106">
        <v>15.17</v>
      </c>
      <c r="O120" s="106">
        <v>13.85</v>
      </c>
      <c r="P120" s="106">
        <v>-3.59</v>
      </c>
      <c r="Q120" s="106">
        <v>7.18</v>
      </c>
      <c r="R120" s="106">
        <v>1</v>
      </c>
      <c r="S120" s="106">
        <v>3</v>
      </c>
      <c r="T120" s="106">
        <v>7</v>
      </c>
      <c r="U120" s="106">
        <v>12.148000000000001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9">
        <v>0</v>
      </c>
    </row>
    <row r="121" spans="1:30" x14ac:dyDescent="0.2">
      <c r="A121" s="19" t="s">
        <v>237</v>
      </c>
      <c r="B121" s="19" t="s">
        <v>248</v>
      </c>
      <c r="C121" s="20">
        <v>14217398.060000001</v>
      </c>
      <c r="D121" s="20">
        <v>829529.26850000001</v>
      </c>
      <c r="E121" s="20">
        <v>2077217.0719000001</v>
      </c>
      <c r="F121" s="20">
        <v>0</v>
      </c>
      <c r="G121" s="20">
        <v>17124144.4005</v>
      </c>
      <c r="H121" s="19" t="s">
        <v>122</v>
      </c>
      <c r="I121" s="106">
        <v>147.65200000000002</v>
      </c>
      <c r="J121" s="106">
        <v>0</v>
      </c>
      <c r="K121" s="106">
        <v>19.38</v>
      </c>
      <c r="L121" s="106">
        <v>7.5</v>
      </c>
      <c r="M121" s="106">
        <v>5.12</v>
      </c>
      <c r="N121" s="106">
        <v>14.83</v>
      </c>
      <c r="O121" s="106">
        <v>60.38</v>
      </c>
      <c r="P121" s="106">
        <v>0</v>
      </c>
      <c r="Q121" s="106">
        <v>0</v>
      </c>
      <c r="R121" s="106">
        <v>1</v>
      </c>
      <c r="S121" s="106">
        <v>6</v>
      </c>
      <c r="T121" s="106">
        <v>12</v>
      </c>
      <c r="U121" s="106">
        <v>21.442</v>
      </c>
      <c r="V121" s="106">
        <v>0</v>
      </c>
      <c r="W121" s="106">
        <v>0</v>
      </c>
      <c r="X121" s="106">
        <v>0</v>
      </c>
      <c r="Y121" s="106">
        <v>0</v>
      </c>
      <c r="Z121" s="106">
        <v>0</v>
      </c>
      <c r="AA121" s="106">
        <v>0</v>
      </c>
      <c r="AB121" s="106">
        <v>0</v>
      </c>
      <c r="AC121" s="106">
        <v>0</v>
      </c>
      <c r="AD121" s="19">
        <v>0</v>
      </c>
    </row>
    <row r="122" spans="1:30" x14ac:dyDescent="0.2">
      <c r="A122" s="19" t="s">
        <v>237</v>
      </c>
      <c r="B122" s="19" t="s">
        <v>249</v>
      </c>
      <c r="C122" s="20">
        <v>6129438.3600000003</v>
      </c>
      <c r="D122" s="20">
        <v>254089.1538</v>
      </c>
      <c r="E122" s="20">
        <v>915866.69330000004</v>
      </c>
      <c r="F122" s="20">
        <v>0</v>
      </c>
      <c r="G122" s="20">
        <v>7299394.2071000002</v>
      </c>
      <c r="H122" s="19" t="s">
        <v>122</v>
      </c>
      <c r="I122" s="106">
        <v>63.512</v>
      </c>
      <c r="J122" s="106">
        <v>0</v>
      </c>
      <c r="K122" s="106">
        <v>0</v>
      </c>
      <c r="L122" s="106">
        <v>0</v>
      </c>
      <c r="M122" s="106">
        <v>13.93</v>
      </c>
      <c r="N122" s="106">
        <v>7.33</v>
      </c>
      <c r="O122" s="106">
        <v>25</v>
      </c>
      <c r="P122" s="106">
        <v>0</v>
      </c>
      <c r="Q122" s="106">
        <v>0</v>
      </c>
      <c r="R122" s="106">
        <v>1</v>
      </c>
      <c r="S122" s="106">
        <v>2</v>
      </c>
      <c r="T122" s="106">
        <v>5</v>
      </c>
      <c r="U122" s="106">
        <v>9.2520000000000007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9">
        <v>0</v>
      </c>
    </row>
    <row r="123" spans="1:30" x14ac:dyDescent="0.2">
      <c r="A123" s="19" t="s">
        <v>237</v>
      </c>
      <c r="B123" s="19" t="s">
        <v>250</v>
      </c>
      <c r="C123" s="20">
        <v>9386559.4000000004</v>
      </c>
      <c r="D123" s="20">
        <v>1220544.2441</v>
      </c>
      <c r="E123" s="20">
        <v>1718045.0730999999</v>
      </c>
      <c r="F123" s="20">
        <v>0</v>
      </c>
      <c r="G123" s="20">
        <v>12325148.7172</v>
      </c>
      <c r="H123" s="19" t="s">
        <v>122</v>
      </c>
      <c r="I123" s="106">
        <v>97.679999999999993</v>
      </c>
      <c r="J123" s="106">
        <v>0</v>
      </c>
      <c r="K123" s="106">
        <v>36.6</v>
      </c>
      <c r="L123" s="106">
        <v>14.6</v>
      </c>
      <c r="M123" s="106">
        <v>6.07</v>
      </c>
      <c r="N123" s="106">
        <v>10.67</v>
      </c>
      <c r="O123" s="106">
        <v>3.46</v>
      </c>
      <c r="P123" s="106">
        <v>0</v>
      </c>
      <c r="Q123" s="106">
        <v>0</v>
      </c>
      <c r="R123" s="106">
        <v>1</v>
      </c>
      <c r="S123" s="106">
        <v>3</v>
      </c>
      <c r="T123" s="106">
        <v>8</v>
      </c>
      <c r="U123" s="106">
        <v>14.280000000000001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9">
        <v>0</v>
      </c>
    </row>
    <row r="124" spans="1:30" x14ac:dyDescent="0.2">
      <c r="A124" s="19" t="s">
        <v>237</v>
      </c>
      <c r="B124" s="19" t="s">
        <v>251</v>
      </c>
      <c r="C124" s="20">
        <v>3349031.46</v>
      </c>
      <c r="D124" s="20">
        <v>437053.15649999998</v>
      </c>
      <c r="E124" s="20">
        <v>618008.8284</v>
      </c>
      <c r="F124" s="20">
        <v>0</v>
      </c>
      <c r="G124" s="20">
        <v>4404093.4450000003</v>
      </c>
      <c r="H124" s="19" t="s">
        <v>122</v>
      </c>
      <c r="I124" s="106">
        <v>34.531999999999996</v>
      </c>
      <c r="J124" s="106">
        <v>0</v>
      </c>
      <c r="K124" s="106">
        <v>10.56</v>
      </c>
      <c r="L124" s="106">
        <v>4.25</v>
      </c>
      <c r="M124" s="106">
        <v>2.38</v>
      </c>
      <c r="N124" s="106">
        <v>5.5</v>
      </c>
      <c r="O124" s="106">
        <v>1.92</v>
      </c>
      <c r="P124" s="106">
        <v>0</v>
      </c>
      <c r="Q124" s="106">
        <v>0</v>
      </c>
      <c r="R124" s="106">
        <v>1</v>
      </c>
      <c r="S124" s="106">
        <v>1</v>
      </c>
      <c r="T124" s="106">
        <v>3</v>
      </c>
      <c r="U124" s="106">
        <v>4.9220000000000006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9">
        <v>0</v>
      </c>
    </row>
    <row r="125" spans="1:30" x14ac:dyDescent="0.2">
      <c r="A125" s="19" t="s">
        <v>237</v>
      </c>
      <c r="B125" s="19" t="s">
        <v>252</v>
      </c>
      <c r="C125" s="20">
        <v>101448570.92</v>
      </c>
      <c r="D125" s="20">
        <v>11593597.739700001</v>
      </c>
      <c r="E125" s="20">
        <v>18804244.995999999</v>
      </c>
      <c r="F125" s="20">
        <v>2908111.4635999999</v>
      </c>
      <c r="G125" s="20">
        <v>134754525.11930001</v>
      </c>
      <c r="H125" s="19" t="s">
        <v>144</v>
      </c>
      <c r="I125" s="106">
        <v>1052.4639999999999</v>
      </c>
      <c r="J125" s="106">
        <v>21.119759999999999</v>
      </c>
      <c r="K125" s="106">
        <v>130.99</v>
      </c>
      <c r="L125" s="106">
        <v>199.75</v>
      </c>
      <c r="M125" s="106">
        <v>96.07</v>
      </c>
      <c r="N125" s="106">
        <v>155.16999999999999</v>
      </c>
      <c r="O125" s="106">
        <v>161.54</v>
      </c>
      <c r="P125" s="106">
        <v>-21.87</v>
      </c>
      <c r="Q125" s="106">
        <v>43.74</v>
      </c>
      <c r="R125" s="106">
        <v>14</v>
      </c>
      <c r="S125" s="106">
        <v>35</v>
      </c>
      <c r="T125" s="106">
        <v>85</v>
      </c>
      <c r="U125" s="106">
        <v>153.07400000000001</v>
      </c>
      <c r="V125" s="106">
        <v>1</v>
      </c>
      <c r="W125" s="106">
        <v>1</v>
      </c>
      <c r="X125" s="106">
        <v>2</v>
      </c>
      <c r="Y125" s="106">
        <v>6</v>
      </c>
      <c r="Z125" s="106">
        <v>7.0164266666666659</v>
      </c>
      <c r="AA125" s="106">
        <v>1</v>
      </c>
      <c r="AB125" s="106">
        <v>1</v>
      </c>
      <c r="AC125" s="106">
        <v>1.1033333333333333</v>
      </c>
      <c r="AD125" s="19">
        <v>1</v>
      </c>
    </row>
    <row r="126" spans="1:30" x14ac:dyDescent="0.2">
      <c r="A126" s="19" t="s">
        <v>253</v>
      </c>
      <c r="B126" s="19" t="s">
        <v>254</v>
      </c>
      <c r="C126" s="20">
        <v>6248285.9400000004</v>
      </c>
      <c r="D126" s="20">
        <v>335863.26549999998</v>
      </c>
      <c r="E126" s="20">
        <v>910934.30460000003</v>
      </c>
      <c r="F126" s="20">
        <v>0</v>
      </c>
      <c r="G126" s="20">
        <v>7495083.5100999996</v>
      </c>
      <c r="H126" s="19" t="s">
        <v>122</v>
      </c>
      <c r="I126" s="106">
        <v>64.748000000000005</v>
      </c>
      <c r="J126" s="106">
        <v>0</v>
      </c>
      <c r="K126" s="106">
        <v>0</v>
      </c>
      <c r="L126" s="106">
        <v>31.5</v>
      </c>
      <c r="M126" s="106">
        <v>4.76</v>
      </c>
      <c r="N126" s="106">
        <v>2.5</v>
      </c>
      <c r="O126" s="106">
        <v>3.46</v>
      </c>
      <c r="P126" s="106">
        <v>-5.07</v>
      </c>
      <c r="Q126" s="106">
        <v>10.14</v>
      </c>
      <c r="R126" s="106">
        <v>1</v>
      </c>
      <c r="S126" s="106">
        <v>2</v>
      </c>
      <c r="T126" s="106">
        <v>5</v>
      </c>
      <c r="U126" s="106">
        <v>9.4580000000000002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9">
        <v>0</v>
      </c>
    </row>
    <row r="127" spans="1:30" x14ac:dyDescent="0.2">
      <c r="A127" s="19" t="s">
        <v>253</v>
      </c>
      <c r="B127" s="19" t="s">
        <v>255</v>
      </c>
      <c r="C127" s="20">
        <v>6592306.1799999997</v>
      </c>
      <c r="D127" s="20">
        <v>468752.38819999999</v>
      </c>
      <c r="E127" s="20">
        <v>1044206.1481</v>
      </c>
      <c r="F127" s="20">
        <v>0</v>
      </c>
      <c r="G127" s="20">
        <v>8105264.7163000004</v>
      </c>
      <c r="H127" s="19" t="s">
        <v>122</v>
      </c>
      <c r="I127" s="106">
        <v>68.555999999999997</v>
      </c>
      <c r="J127" s="106">
        <v>0</v>
      </c>
      <c r="K127" s="106">
        <v>0</v>
      </c>
      <c r="L127" s="106">
        <v>34.75</v>
      </c>
      <c r="M127" s="106">
        <v>6.9</v>
      </c>
      <c r="N127" s="106">
        <v>2.5</v>
      </c>
      <c r="O127" s="106">
        <v>3.46</v>
      </c>
      <c r="P127" s="106">
        <v>-2.02</v>
      </c>
      <c r="Q127" s="106">
        <v>4.04</v>
      </c>
      <c r="R127" s="106">
        <v>1</v>
      </c>
      <c r="S127" s="106">
        <v>2</v>
      </c>
      <c r="T127" s="106">
        <v>6</v>
      </c>
      <c r="U127" s="106">
        <v>9.9260000000000019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9">
        <v>0</v>
      </c>
    </row>
    <row r="128" spans="1:30" x14ac:dyDescent="0.2">
      <c r="A128" s="19" t="s">
        <v>253</v>
      </c>
      <c r="B128" s="19" t="s">
        <v>256</v>
      </c>
      <c r="C128" s="20">
        <v>12841553.67</v>
      </c>
      <c r="D128" s="20">
        <v>804615.65370000002</v>
      </c>
      <c r="E128" s="20">
        <v>1955140.4527</v>
      </c>
      <c r="F128" s="20">
        <v>767917.37439999997</v>
      </c>
      <c r="G128" s="20">
        <v>16369227.150699999</v>
      </c>
      <c r="H128" s="19" t="s">
        <v>144</v>
      </c>
      <c r="I128" s="106">
        <v>133.31400000000002</v>
      </c>
      <c r="J128" s="106">
        <v>6.0848933333333326</v>
      </c>
      <c r="K128" s="106">
        <v>0</v>
      </c>
      <c r="L128" s="106">
        <v>66.25</v>
      </c>
      <c r="M128" s="106">
        <v>11.67</v>
      </c>
      <c r="N128" s="106">
        <v>5</v>
      </c>
      <c r="O128" s="106">
        <v>6.92</v>
      </c>
      <c r="P128" s="106">
        <v>-7.09</v>
      </c>
      <c r="Q128" s="106">
        <v>14.18</v>
      </c>
      <c r="R128" s="106">
        <v>2</v>
      </c>
      <c r="S128" s="106">
        <v>4</v>
      </c>
      <c r="T128" s="106">
        <v>11</v>
      </c>
      <c r="U128" s="106">
        <v>19.384</v>
      </c>
      <c r="V128" s="106">
        <v>1</v>
      </c>
      <c r="W128" s="106">
        <v>1</v>
      </c>
      <c r="X128" s="106">
        <v>0</v>
      </c>
      <c r="Y128" s="106">
        <v>0</v>
      </c>
      <c r="Z128" s="106">
        <v>0.88876000000000011</v>
      </c>
      <c r="AA128" s="106">
        <v>1</v>
      </c>
      <c r="AB128" s="106">
        <v>1</v>
      </c>
      <c r="AC128" s="106">
        <v>0.19613333333333333</v>
      </c>
      <c r="AD128" s="19">
        <v>1</v>
      </c>
    </row>
    <row r="129" spans="1:30" x14ac:dyDescent="0.2">
      <c r="A129" s="19" t="s">
        <v>257</v>
      </c>
      <c r="B129" s="19" t="s">
        <v>258</v>
      </c>
      <c r="C129" s="20">
        <v>12692.46</v>
      </c>
      <c r="D129" s="20">
        <v>0</v>
      </c>
      <c r="E129" s="20">
        <v>0</v>
      </c>
      <c r="F129" s="20">
        <v>0</v>
      </c>
      <c r="G129" s="20">
        <v>12692.46</v>
      </c>
      <c r="H129" s="19" t="s">
        <v>122</v>
      </c>
      <c r="I129" s="106">
        <v>0.13200000000000001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-0.11</v>
      </c>
      <c r="Q129" s="106">
        <v>0.22</v>
      </c>
      <c r="R129" s="106">
        <v>0</v>
      </c>
      <c r="S129" s="106">
        <v>0</v>
      </c>
      <c r="T129" s="106">
        <v>0</v>
      </c>
      <c r="U129" s="106">
        <v>2.2000000000000002E-2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9">
        <v>0</v>
      </c>
    </row>
    <row r="130" spans="1:30" x14ac:dyDescent="0.2">
      <c r="A130" s="19" t="s">
        <v>257</v>
      </c>
      <c r="B130" s="19" t="s">
        <v>259</v>
      </c>
      <c r="C130" s="20">
        <v>808855.86</v>
      </c>
      <c r="D130" s="20">
        <v>0</v>
      </c>
      <c r="E130" s="20">
        <v>104326.51</v>
      </c>
      <c r="F130" s="20">
        <v>0</v>
      </c>
      <c r="G130" s="20">
        <v>913182.37</v>
      </c>
      <c r="H130" s="19" t="s">
        <v>122</v>
      </c>
      <c r="I130" s="106">
        <v>8.411999999999999</v>
      </c>
      <c r="J130" s="106">
        <v>0</v>
      </c>
      <c r="K130" s="106">
        <v>0</v>
      </c>
      <c r="L130" s="106">
        <v>5.3</v>
      </c>
      <c r="M130" s="106">
        <v>1.31</v>
      </c>
      <c r="N130" s="106">
        <v>0.17</v>
      </c>
      <c r="O130" s="106">
        <v>0</v>
      </c>
      <c r="P130" s="106">
        <v>-0.24</v>
      </c>
      <c r="Q130" s="106">
        <v>0.47</v>
      </c>
      <c r="R130" s="106">
        <v>0</v>
      </c>
      <c r="S130" s="106">
        <v>0</v>
      </c>
      <c r="T130" s="106">
        <v>0</v>
      </c>
      <c r="U130" s="106">
        <v>1.4020000000000001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9">
        <v>0</v>
      </c>
    </row>
    <row r="131" spans="1:30" x14ac:dyDescent="0.2">
      <c r="A131" s="19" t="s">
        <v>257</v>
      </c>
      <c r="B131" s="19" t="s">
        <v>260</v>
      </c>
      <c r="C131" s="20">
        <v>1189799.6200000001</v>
      </c>
      <c r="D131" s="20">
        <v>13373.1134</v>
      </c>
      <c r="E131" s="20">
        <v>151573.60130000001</v>
      </c>
      <c r="F131" s="20">
        <v>0</v>
      </c>
      <c r="G131" s="20">
        <v>1354746.3347</v>
      </c>
      <c r="H131" s="19" t="s">
        <v>122</v>
      </c>
      <c r="I131" s="106">
        <v>12.603999999999999</v>
      </c>
      <c r="J131" s="106">
        <v>0</v>
      </c>
      <c r="K131" s="106">
        <v>0.06</v>
      </c>
      <c r="L131" s="106">
        <v>2.15</v>
      </c>
      <c r="M131" s="106">
        <v>0.83</v>
      </c>
      <c r="N131" s="106">
        <v>1.83</v>
      </c>
      <c r="O131" s="106">
        <v>4.62</v>
      </c>
      <c r="P131" s="106">
        <v>-0.19</v>
      </c>
      <c r="Q131" s="106">
        <v>0.37</v>
      </c>
      <c r="R131" s="106">
        <v>0</v>
      </c>
      <c r="S131" s="106">
        <v>0</v>
      </c>
      <c r="T131" s="106">
        <v>1</v>
      </c>
      <c r="U131" s="106">
        <v>1.9340000000000002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9">
        <v>0</v>
      </c>
    </row>
    <row r="132" spans="1:30" x14ac:dyDescent="0.2">
      <c r="A132" s="19" t="s">
        <v>257</v>
      </c>
      <c r="B132" s="19" t="s">
        <v>261</v>
      </c>
      <c r="C132" s="20">
        <v>4589012.72</v>
      </c>
      <c r="D132" s="20">
        <v>13373.1134</v>
      </c>
      <c r="E132" s="20">
        <v>513422.71899999998</v>
      </c>
      <c r="F132" s="20">
        <v>0</v>
      </c>
      <c r="G132" s="20">
        <v>5115808.5524000004</v>
      </c>
      <c r="H132" s="19" t="s">
        <v>122</v>
      </c>
      <c r="I132" s="106">
        <v>47.824000000000005</v>
      </c>
      <c r="J132" s="106">
        <v>0</v>
      </c>
      <c r="K132" s="106">
        <v>10.74</v>
      </c>
      <c r="L132" s="106">
        <v>10.95</v>
      </c>
      <c r="M132" s="106">
        <v>6.31</v>
      </c>
      <c r="N132" s="106">
        <v>3</v>
      </c>
      <c r="O132" s="106">
        <v>5</v>
      </c>
      <c r="P132" s="106">
        <v>-0.54</v>
      </c>
      <c r="Q132" s="106">
        <v>1.06</v>
      </c>
      <c r="R132" s="106">
        <v>1</v>
      </c>
      <c r="S132" s="106">
        <v>0</v>
      </c>
      <c r="T132" s="106">
        <v>3</v>
      </c>
      <c r="U132" s="106">
        <v>7.3040000000000003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9">
        <v>0</v>
      </c>
    </row>
    <row r="133" spans="1:30" x14ac:dyDescent="0.2">
      <c r="A133" s="19" t="s">
        <v>257</v>
      </c>
      <c r="B133" s="19" t="s">
        <v>262</v>
      </c>
      <c r="C133" s="20">
        <v>2577664.7799999998</v>
      </c>
      <c r="D133" s="20">
        <v>0</v>
      </c>
      <c r="E133" s="20">
        <v>257522.60759999999</v>
      </c>
      <c r="F133" s="20">
        <v>0</v>
      </c>
      <c r="G133" s="20">
        <v>2835187.3876</v>
      </c>
      <c r="H133" s="19" t="s">
        <v>122</v>
      </c>
      <c r="I133" s="106">
        <v>26.676000000000002</v>
      </c>
      <c r="J133" s="106">
        <v>0</v>
      </c>
      <c r="K133" s="106">
        <v>10.68</v>
      </c>
      <c r="L133" s="106">
        <v>3.5</v>
      </c>
      <c r="M133" s="106">
        <v>4.17</v>
      </c>
      <c r="N133" s="106">
        <v>1</v>
      </c>
      <c r="O133" s="106">
        <v>0.38</v>
      </c>
      <c r="P133" s="106">
        <v>0</v>
      </c>
      <c r="Q133" s="106">
        <v>0</v>
      </c>
      <c r="R133" s="106">
        <v>1</v>
      </c>
      <c r="S133" s="106">
        <v>0</v>
      </c>
      <c r="T133" s="106">
        <v>2</v>
      </c>
      <c r="U133" s="106">
        <v>3.9460000000000002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9">
        <v>0</v>
      </c>
    </row>
    <row r="134" spans="1:30" x14ac:dyDescent="0.2">
      <c r="A134" s="19" t="s">
        <v>263</v>
      </c>
      <c r="B134" s="19" t="s">
        <v>264</v>
      </c>
      <c r="C134" s="20">
        <v>4513446.16</v>
      </c>
      <c r="D134" s="20">
        <v>705728.90989999997</v>
      </c>
      <c r="E134" s="20">
        <v>912151.17680000002</v>
      </c>
      <c r="F134" s="20">
        <v>0</v>
      </c>
      <c r="G134" s="20">
        <v>6131326.2467</v>
      </c>
      <c r="H134" s="19" t="s">
        <v>122</v>
      </c>
      <c r="I134" s="106">
        <v>46.872</v>
      </c>
      <c r="J134" s="106">
        <v>0</v>
      </c>
      <c r="K134" s="106">
        <v>15.62</v>
      </c>
      <c r="L134" s="106">
        <v>5.85</v>
      </c>
      <c r="M134" s="106">
        <v>4.76</v>
      </c>
      <c r="N134" s="106">
        <v>2.83</v>
      </c>
      <c r="O134" s="106">
        <v>5</v>
      </c>
      <c r="P134" s="106">
        <v>0</v>
      </c>
      <c r="Q134" s="106">
        <v>0</v>
      </c>
      <c r="R134" s="106">
        <v>1</v>
      </c>
      <c r="S134" s="106">
        <v>1</v>
      </c>
      <c r="T134" s="106">
        <v>4</v>
      </c>
      <c r="U134" s="106">
        <v>6.8120000000000012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9">
        <v>0</v>
      </c>
    </row>
    <row r="135" spans="1:30" x14ac:dyDescent="0.2">
      <c r="A135" s="19" t="s">
        <v>263</v>
      </c>
      <c r="B135" s="19" t="s">
        <v>265</v>
      </c>
      <c r="C135" s="20">
        <v>7053850.1799999997</v>
      </c>
      <c r="D135" s="20">
        <v>1090924.1046</v>
      </c>
      <c r="E135" s="20">
        <v>1399354.3562</v>
      </c>
      <c r="F135" s="20">
        <v>0</v>
      </c>
      <c r="G135" s="20">
        <v>9544128.6407999992</v>
      </c>
      <c r="H135" s="19" t="s">
        <v>122</v>
      </c>
      <c r="I135" s="106">
        <v>73.356000000000009</v>
      </c>
      <c r="J135" s="106">
        <v>0</v>
      </c>
      <c r="K135" s="106">
        <v>26.85</v>
      </c>
      <c r="L135" s="106">
        <v>12.85</v>
      </c>
      <c r="M135" s="106">
        <v>6.31</v>
      </c>
      <c r="N135" s="106">
        <v>3</v>
      </c>
      <c r="O135" s="106">
        <v>4.62</v>
      </c>
      <c r="P135" s="106">
        <v>0</v>
      </c>
      <c r="Q135" s="106">
        <v>0</v>
      </c>
      <c r="R135" s="106">
        <v>1</v>
      </c>
      <c r="S135" s="106">
        <v>2</v>
      </c>
      <c r="T135" s="106">
        <v>6</v>
      </c>
      <c r="U135" s="106">
        <v>10.726000000000001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9">
        <v>0</v>
      </c>
    </row>
    <row r="136" spans="1:30" x14ac:dyDescent="0.2">
      <c r="A136" s="19" t="s">
        <v>263</v>
      </c>
      <c r="B136" s="19" t="s">
        <v>266</v>
      </c>
      <c r="C136" s="20">
        <v>15280273.08</v>
      </c>
      <c r="D136" s="20">
        <v>386136.26569999999</v>
      </c>
      <c r="E136" s="20">
        <v>2077152.1721000001</v>
      </c>
      <c r="F136" s="20">
        <v>0</v>
      </c>
      <c r="G136" s="20">
        <v>17743561.5178</v>
      </c>
      <c r="H136" s="19" t="s">
        <v>122</v>
      </c>
      <c r="I136" s="106">
        <v>158.93599999999998</v>
      </c>
      <c r="J136" s="106">
        <v>0</v>
      </c>
      <c r="K136" s="106">
        <v>0</v>
      </c>
      <c r="L136" s="106">
        <v>0</v>
      </c>
      <c r="M136" s="106">
        <v>5.71</v>
      </c>
      <c r="N136" s="106">
        <v>1.5</v>
      </c>
      <c r="O136" s="106">
        <v>108.46</v>
      </c>
      <c r="P136" s="106">
        <v>-0.12</v>
      </c>
      <c r="Q136" s="106">
        <v>0.23</v>
      </c>
      <c r="R136" s="106">
        <v>1</v>
      </c>
      <c r="S136" s="106">
        <v>6</v>
      </c>
      <c r="T136" s="106">
        <v>13</v>
      </c>
      <c r="U136" s="106">
        <v>23.156000000000002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9">
        <v>0</v>
      </c>
    </row>
    <row r="137" spans="1:30" x14ac:dyDescent="0.2">
      <c r="A137" s="19" t="s">
        <v>263</v>
      </c>
      <c r="B137" s="19" t="s">
        <v>267</v>
      </c>
      <c r="C137" s="20">
        <v>9075017.1999999993</v>
      </c>
      <c r="D137" s="20">
        <v>1793606.9165000001</v>
      </c>
      <c r="E137" s="20">
        <v>2086513.9754999999</v>
      </c>
      <c r="F137" s="20">
        <v>0</v>
      </c>
      <c r="G137" s="20">
        <v>12955138.092</v>
      </c>
      <c r="H137" s="19" t="s">
        <v>122</v>
      </c>
      <c r="I137" s="106">
        <v>94.44</v>
      </c>
      <c r="J137" s="106">
        <v>0</v>
      </c>
      <c r="K137" s="106">
        <v>29.75</v>
      </c>
      <c r="L137" s="106">
        <v>11.55</v>
      </c>
      <c r="M137" s="106">
        <v>8.2100000000000009</v>
      </c>
      <c r="N137" s="106">
        <v>6.5</v>
      </c>
      <c r="O137" s="106">
        <v>12.69</v>
      </c>
      <c r="P137" s="106">
        <v>0</v>
      </c>
      <c r="Q137" s="106">
        <v>0</v>
      </c>
      <c r="R137" s="106">
        <v>1</v>
      </c>
      <c r="S137" s="106">
        <v>3</v>
      </c>
      <c r="T137" s="106">
        <v>8</v>
      </c>
      <c r="U137" s="106">
        <v>13.740000000000002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9">
        <v>0</v>
      </c>
    </row>
    <row r="138" spans="1:30" x14ac:dyDescent="0.2">
      <c r="A138" s="19" t="s">
        <v>263</v>
      </c>
      <c r="B138" s="19" t="s">
        <v>268</v>
      </c>
      <c r="C138" s="20">
        <v>8044450.2599999998</v>
      </c>
      <c r="D138" s="20">
        <v>1338797.2372000001</v>
      </c>
      <c r="E138" s="20">
        <v>1783772.3969000001</v>
      </c>
      <c r="F138" s="20">
        <v>0</v>
      </c>
      <c r="G138" s="20">
        <v>11167019.894099999</v>
      </c>
      <c r="H138" s="19" t="s">
        <v>122</v>
      </c>
      <c r="I138" s="106">
        <v>83.49199999999999</v>
      </c>
      <c r="J138" s="106">
        <v>0</v>
      </c>
      <c r="K138" s="106">
        <v>0</v>
      </c>
      <c r="L138" s="106">
        <v>34.950000000000003</v>
      </c>
      <c r="M138" s="106">
        <v>7.26</v>
      </c>
      <c r="N138" s="106">
        <v>12.67</v>
      </c>
      <c r="O138" s="106">
        <v>3.85</v>
      </c>
      <c r="P138" s="106">
        <v>-1.68</v>
      </c>
      <c r="Q138" s="106">
        <v>3.36</v>
      </c>
      <c r="R138" s="106">
        <v>1</v>
      </c>
      <c r="S138" s="106">
        <v>3</v>
      </c>
      <c r="T138" s="106">
        <v>7</v>
      </c>
      <c r="U138" s="106">
        <v>12.082000000000001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9">
        <v>0</v>
      </c>
    </row>
    <row r="139" spans="1:30" x14ac:dyDescent="0.2">
      <c r="A139" s="19" t="s">
        <v>263</v>
      </c>
      <c r="B139" s="19" t="s">
        <v>269</v>
      </c>
      <c r="C139" s="20">
        <v>10769471.880000001</v>
      </c>
      <c r="D139" s="20">
        <v>755828.55489999999</v>
      </c>
      <c r="E139" s="20">
        <v>1723545.3355</v>
      </c>
      <c r="F139" s="20">
        <v>0</v>
      </c>
      <c r="G139" s="20">
        <v>13248845.770400001</v>
      </c>
      <c r="H139" s="19" t="s">
        <v>122</v>
      </c>
      <c r="I139" s="106">
        <v>111.89599999999999</v>
      </c>
      <c r="J139" s="106">
        <v>0</v>
      </c>
      <c r="K139" s="106">
        <v>0</v>
      </c>
      <c r="L139" s="106">
        <v>42.5</v>
      </c>
      <c r="M139" s="106">
        <v>14.88</v>
      </c>
      <c r="N139" s="106">
        <v>11</v>
      </c>
      <c r="O139" s="106">
        <v>6.92</v>
      </c>
      <c r="P139" s="106">
        <v>-6.29</v>
      </c>
      <c r="Q139" s="106">
        <v>12.57</v>
      </c>
      <c r="R139" s="106">
        <v>1</v>
      </c>
      <c r="S139" s="106">
        <v>4</v>
      </c>
      <c r="T139" s="106">
        <v>9</v>
      </c>
      <c r="U139" s="106">
        <v>16.315999999999999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9">
        <v>0</v>
      </c>
    </row>
    <row r="140" spans="1:30" x14ac:dyDescent="0.2">
      <c r="A140" s="19" t="s">
        <v>263</v>
      </c>
      <c r="B140" s="19" t="s">
        <v>270</v>
      </c>
      <c r="C140" s="20">
        <v>2513048.62</v>
      </c>
      <c r="D140" s="20">
        <v>106984.9069</v>
      </c>
      <c r="E140" s="20">
        <v>383720.36739999999</v>
      </c>
      <c r="F140" s="20">
        <v>0</v>
      </c>
      <c r="G140" s="20">
        <v>3003753.8942</v>
      </c>
      <c r="H140" s="19" t="s">
        <v>122</v>
      </c>
      <c r="I140" s="106">
        <v>26.004000000000001</v>
      </c>
      <c r="J140" s="106">
        <v>0</v>
      </c>
      <c r="K140" s="106">
        <v>0.43</v>
      </c>
      <c r="L140" s="106">
        <v>0.1</v>
      </c>
      <c r="M140" s="106">
        <v>7.62</v>
      </c>
      <c r="N140" s="106">
        <v>2.17</v>
      </c>
      <c r="O140" s="106">
        <v>8.85</v>
      </c>
      <c r="P140" s="106">
        <v>0</v>
      </c>
      <c r="Q140" s="106">
        <v>0</v>
      </c>
      <c r="R140" s="106">
        <v>1</v>
      </c>
      <c r="S140" s="106">
        <v>0</v>
      </c>
      <c r="T140" s="106">
        <v>2</v>
      </c>
      <c r="U140" s="106">
        <v>3.8340000000000005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9">
        <v>0</v>
      </c>
    </row>
    <row r="141" spans="1:30" x14ac:dyDescent="0.2">
      <c r="A141" s="19" t="s">
        <v>263</v>
      </c>
      <c r="B141" s="19" t="s">
        <v>271</v>
      </c>
      <c r="C141" s="20">
        <v>6380979.8399999999</v>
      </c>
      <c r="D141" s="20">
        <v>1183619.5922000001</v>
      </c>
      <c r="E141" s="20">
        <v>1387201.8591</v>
      </c>
      <c r="F141" s="20">
        <v>0</v>
      </c>
      <c r="G141" s="20">
        <v>8951801.2913000006</v>
      </c>
      <c r="H141" s="19" t="s">
        <v>122</v>
      </c>
      <c r="I141" s="106">
        <v>66.128</v>
      </c>
      <c r="J141" s="106">
        <v>0</v>
      </c>
      <c r="K141" s="106">
        <v>25.56</v>
      </c>
      <c r="L141" s="106">
        <v>10.7</v>
      </c>
      <c r="M141" s="106">
        <v>3.1</v>
      </c>
      <c r="N141" s="106">
        <v>6</v>
      </c>
      <c r="O141" s="106">
        <v>3.08</v>
      </c>
      <c r="P141" s="106">
        <v>0</v>
      </c>
      <c r="Q141" s="106">
        <v>0</v>
      </c>
      <c r="R141" s="106">
        <v>1</v>
      </c>
      <c r="S141" s="106">
        <v>2</v>
      </c>
      <c r="T141" s="106">
        <v>5</v>
      </c>
      <c r="U141" s="106">
        <v>9.6880000000000006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9">
        <v>0</v>
      </c>
    </row>
    <row r="142" spans="1:30" x14ac:dyDescent="0.2">
      <c r="A142" s="19" t="s">
        <v>263</v>
      </c>
      <c r="B142" s="19" t="s">
        <v>272</v>
      </c>
      <c r="C142" s="20">
        <v>5138838.28</v>
      </c>
      <c r="D142" s="20">
        <v>324941.88959999999</v>
      </c>
      <c r="E142" s="20">
        <v>724785.30779999995</v>
      </c>
      <c r="F142" s="20">
        <v>0</v>
      </c>
      <c r="G142" s="20">
        <v>6188565.4774000002</v>
      </c>
      <c r="H142" s="19" t="s">
        <v>122</v>
      </c>
      <c r="I142" s="106">
        <v>53.375999999999998</v>
      </c>
      <c r="J142" s="106">
        <v>0</v>
      </c>
      <c r="K142" s="106">
        <v>19.2</v>
      </c>
      <c r="L142" s="106">
        <v>8.85</v>
      </c>
      <c r="M142" s="106">
        <v>4.29</v>
      </c>
      <c r="N142" s="106">
        <v>4.83</v>
      </c>
      <c r="O142" s="106">
        <v>2.31</v>
      </c>
      <c r="P142" s="106">
        <v>0</v>
      </c>
      <c r="Q142" s="106">
        <v>0</v>
      </c>
      <c r="R142" s="106">
        <v>1</v>
      </c>
      <c r="S142" s="106">
        <v>1</v>
      </c>
      <c r="T142" s="106">
        <v>4</v>
      </c>
      <c r="U142" s="106">
        <v>7.8959999999999999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9">
        <v>0</v>
      </c>
    </row>
    <row r="143" spans="1:30" x14ac:dyDescent="0.2">
      <c r="A143" s="19" t="s">
        <v>263</v>
      </c>
      <c r="B143" s="19" t="s">
        <v>273</v>
      </c>
      <c r="C143" s="20">
        <v>7289237.6200000001</v>
      </c>
      <c r="D143" s="20">
        <v>1885807.1036</v>
      </c>
      <c r="E143" s="20">
        <v>1947839.2194999999</v>
      </c>
      <c r="F143" s="20">
        <v>0</v>
      </c>
      <c r="G143" s="20">
        <v>11122883.9431</v>
      </c>
      <c r="H143" s="19" t="s">
        <v>122</v>
      </c>
      <c r="I143" s="106">
        <v>75.804000000000002</v>
      </c>
      <c r="J143" s="106">
        <v>0</v>
      </c>
      <c r="K143" s="106">
        <v>29.32</v>
      </c>
      <c r="L143" s="106">
        <v>11</v>
      </c>
      <c r="M143" s="106">
        <v>6.79</v>
      </c>
      <c r="N143" s="106">
        <v>4.33</v>
      </c>
      <c r="O143" s="106">
        <v>4.2300000000000004</v>
      </c>
      <c r="P143" s="106">
        <v>0</v>
      </c>
      <c r="Q143" s="106">
        <v>0</v>
      </c>
      <c r="R143" s="106">
        <v>1</v>
      </c>
      <c r="S143" s="106">
        <v>2</v>
      </c>
      <c r="T143" s="106">
        <v>6</v>
      </c>
      <c r="U143" s="106">
        <v>11.134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9">
        <v>0</v>
      </c>
    </row>
    <row r="144" spans="1:30" x14ac:dyDescent="0.2">
      <c r="A144" s="19" t="s">
        <v>263</v>
      </c>
      <c r="B144" s="19" t="s">
        <v>274</v>
      </c>
      <c r="C144" s="20">
        <v>7411546.7800000003</v>
      </c>
      <c r="D144" s="20">
        <v>609095.78339999996</v>
      </c>
      <c r="E144" s="20">
        <v>1256672.0344</v>
      </c>
      <c r="F144" s="20">
        <v>0</v>
      </c>
      <c r="G144" s="20">
        <v>9277314.5976999998</v>
      </c>
      <c r="H144" s="19" t="s">
        <v>122</v>
      </c>
      <c r="I144" s="106">
        <v>77.076000000000008</v>
      </c>
      <c r="J144" s="106">
        <v>0</v>
      </c>
      <c r="K144" s="106">
        <v>0</v>
      </c>
      <c r="L144" s="106">
        <v>29.9</v>
      </c>
      <c r="M144" s="106">
        <v>9.52</v>
      </c>
      <c r="N144" s="106">
        <v>7.5</v>
      </c>
      <c r="O144" s="106">
        <v>8.08</v>
      </c>
      <c r="P144" s="106">
        <v>-1.73</v>
      </c>
      <c r="Q144" s="106">
        <v>3.46</v>
      </c>
      <c r="R144" s="106">
        <v>1</v>
      </c>
      <c r="S144" s="106">
        <v>2</v>
      </c>
      <c r="T144" s="106">
        <v>6</v>
      </c>
      <c r="U144" s="106">
        <v>11.346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9">
        <v>0</v>
      </c>
    </row>
    <row r="145" spans="1:30" x14ac:dyDescent="0.2">
      <c r="A145" s="19" t="s">
        <v>263</v>
      </c>
      <c r="B145" s="19" t="s">
        <v>275</v>
      </c>
      <c r="C145" s="20">
        <v>3167705.48</v>
      </c>
      <c r="D145" s="20">
        <v>406592.17609999998</v>
      </c>
      <c r="E145" s="20">
        <v>574558.37840000005</v>
      </c>
      <c r="F145" s="20">
        <v>0</v>
      </c>
      <c r="G145" s="20">
        <v>4148856.0345000001</v>
      </c>
      <c r="H145" s="19" t="s">
        <v>122</v>
      </c>
      <c r="I145" s="106">
        <v>32.415999999999997</v>
      </c>
      <c r="J145" s="106">
        <v>0</v>
      </c>
      <c r="K145" s="106">
        <v>11.98</v>
      </c>
      <c r="L145" s="106">
        <v>3.9</v>
      </c>
      <c r="M145" s="106">
        <v>2.38</v>
      </c>
      <c r="N145" s="106">
        <v>3.5</v>
      </c>
      <c r="O145" s="106">
        <v>1.92</v>
      </c>
      <c r="P145" s="106">
        <v>0</v>
      </c>
      <c r="Q145" s="106">
        <v>0</v>
      </c>
      <c r="R145" s="106">
        <v>1</v>
      </c>
      <c r="S145" s="106">
        <v>1</v>
      </c>
      <c r="T145" s="106">
        <v>2</v>
      </c>
      <c r="U145" s="106">
        <v>4.7359999999999998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9">
        <v>0</v>
      </c>
    </row>
    <row r="146" spans="1:30" x14ac:dyDescent="0.2">
      <c r="A146" s="19" t="s">
        <v>263</v>
      </c>
      <c r="B146" s="19" t="s">
        <v>276</v>
      </c>
      <c r="C146" s="20">
        <v>3696343.32</v>
      </c>
      <c r="D146" s="20">
        <v>189006.66880000001</v>
      </c>
      <c r="E146" s="20">
        <v>497814.30489999999</v>
      </c>
      <c r="F146" s="20">
        <v>0</v>
      </c>
      <c r="G146" s="20">
        <v>4383164.2937000003</v>
      </c>
      <c r="H146" s="19" t="s">
        <v>122</v>
      </c>
      <c r="I146" s="106">
        <v>38.143999999999998</v>
      </c>
      <c r="J146" s="106">
        <v>0</v>
      </c>
      <c r="K146" s="106">
        <v>9.51</v>
      </c>
      <c r="L146" s="106">
        <v>9.5</v>
      </c>
      <c r="M146" s="106">
        <v>5.24</v>
      </c>
      <c r="N146" s="106">
        <v>1.83</v>
      </c>
      <c r="O146" s="106">
        <v>1.54</v>
      </c>
      <c r="P146" s="106">
        <v>0</v>
      </c>
      <c r="Q146" s="106">
        <v>0</v>
      </c>
      <c r="R146" s="106">
        <v>1</v>
      </c>
      <c r="S146" s="106">
        <v>1</v>
      </c>
      <c r="T146" s="106">
        <v>3</v>
      </c>
      <c r="U146" s="106">
        <v>5.5240000000000009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9">
        <v>0</v>
      </c>
    </row>
    <row r="147" spans="1:30" x14ac:dyDescent="0.2">
      <c r="A147" s="19" t="s">
        <v>263</v>
      </c>
      <c r="B147" s="19" t="s">
        <v>277</v>
      </c>
      <c r="C147" s="20">
        <v>18909355.280000001</v>
      </c>
      <c r="D147" s="20">
        <v>2885348.2669000002</v>
      </c>
      <c r="E147" s="20">
        <v>4033152.5477999998</v>
      </c>
      <c r="F147" s="20">
        <v>0</v>
      </c>
      <c r="G147" s="20">
        <v>25827856.094700001</v>
      </c>
      <c r="H147" s="19" t="s">
        <v>122</v>
      </c>
      <c r="I147" s="106">
        <v>196.57599999999999</v>
      </c>
      <c r="J147" s="106">
        <v>0</v>
      </c>
      <c r="K147" s="106">
        <v>0</v>
      </c>
      <c r="L147" s="106">
        <v>83.4</v>
      </c>
      <c r="M147" s="106">
        <v>11.79</v>
      </c>
      <c r="N147" s="106">
        <v>27.33</v>
      </c>
      <c r="O147" s="106">
        <v>8.08</v>
      </c>
      <c r="P147" s="106">
        <v>-12.39</v>
      </c>
      <c r="Q147" s="106">
        <v>24.77</v>
      </c>
      <c r="R147" s="106">
        <v>1</v>
      </c>
      <c r="S147" s="106">
        <v>8</v>
      </c>
      <c r="T147" s="106">
        <v>16</v>
      </c>
      <c r="U147" s="106">
        <v>28.596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9">
        <v>0</v>
      </c>
    </row>
    <row r="148" spans="1:30" x14ac:dyDescent="0.2">
      <c r="A148" s="19" t="s">
        <v>263</v>
      </c>
      <c r="B148" s="19" t="s">
        <v>278</v>
      </c>
      <c r="C148" s="20">
        <v>7859832.6600000001</v>
      </c>
      <c r="D148" s="20">
        <v>879480.32339999999</v>
      </c>
      <c r="E148" s="20">
        <v>1450852.3877000001</v>
      </c>
      <c r="F148" s="20">
        <v>0</v>
      </c>
      <c r="G148" s="20">
        <v>10190165.371099999</v>
      </c>
      <c r="H148" s="19" t="s">
        <v>122</v>
      </c>
      <c r="I148" s="106">
        <v>81.572000000000003</v>
      </c>
      <c r="J148" s="106">
        <v>0</v>
      </c>
      <c r="K148" s="106">
        <v>0</v>
      </c>
      <c r="L148" s="106">
        <v>30.2</v>
      </c>
      <c r="M148" s="106">
        <v>5.48</v>
      </c>
      <c r="N148" s="106">
        <v>8.67</v>
      </c>
      <c r="O148" s="106">
        <v>12.69</v>
      </c>
      <c r="P148" s="106">
        <v>-1.78</v>
      </c>
      <c r="Q148" s="106">
        <v>3.55</v>
      </c>
      <c r="R148" s="106">
        <v>1</v>
      </c>
      <c r="S148" s="106">
        <v>3</v>
      </c>
      <c r="T148" s="106">
        <v>7</v>
      </c>
      <c r="U148" s="106">
        <v>11.762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9">
        <v>0</v>
      </c>
    </row>
    <row r="149" spans="1:30" x14ac:dyDescent="0.2">
      <c r="A149" s="19" t="s">
        <v>263</v>
      </c>
      <c r="B149" s="19" t="s">
        <v>279</v>
      </c>
      <c r="C149" s="20">
        <v>117103396.64</v>
      </c>
      <c r="D149" s="20">
        <v>14541898.6995</v>
      </c>
      <c r="E149" s="20">
        <v>22239085.820099998</v>
      </c>
      <c r="F149" s="20">
        <v>3070321.4767</v>
      </c>
      <c r="G149" s="20">
        <v>156954702.6363</v>
      </c>
      <c r="H149" s="19" t="s">
        <v>144</v>
      </c>
      <c r="I149" s="106">
        <v>1216.088</v>
      </c>
      <c r="J149" s="106">
        <v>22.523253333333333</v>
      </c>
      <c r="K149" s="106">
        <v>168.21</v>
      </c>
      <c r="L149" s="106">
        <v>295.25</v>
      </c>
      <c r="M149" s="106">
        <v>103.33</v>
      </c>
      <c r="N149" s="106">
        <v>103.67</v>
      </c>
      <c r="O149" s="106">
        <v>192.31</v>
      </c>
      <c r="P149" s="106">
        <v>-23.98</v>
      </c>
      <c r="Q149" s="106">
        <v>47.95</v>
      </c>
      <c r="R149" s="106">
        <v>15</v>
      </c>
      <c r="S149" s="106">
        <v>39</v>
      </c>
      <c r="T149" s="106">
        <v>98</v>
      </c>
      <c r="U149" s="106">
        <v>177.34800000000001</v>
      </c>
      <c r="V149" s="106">
        <v>1</v>
      </c>
      <c r="W149" s="106">
        <v>1</v>
      </c>
      <c r="X149" s="106">
        <v>2</v>
      </c>
      <c r="Y149" s="106">
        <v>6</v>
      </c>
      <c r="Z149" s="106">
        <v>8.1072533333333325</v>
      </c>
      <c r="AA149" s="106">
        <v>1</v>
      </c>
      <c r="AB149" s="106">
        <v>1</v>
      </c>
      <c r="AC149" s="106">
        <v>1.4159999999999999</v>
      </c>
      <c r="AD149" s="19">
        <v>1</v>
      </c>
    </row>
    <row r="150" spans="1:30" x14ac:dyDescent="0.2">
      <c r="A150" s="19" t="s">
        <v>280</v>
      </c>
      <c r="B150" s="19" t="s">
        <v>281</v>
      </c>
      <c r="C150" s="20">
        <v>9117710.0199999996</v>
      </c>
      <c r="D150" s="20">
        <v>1119205.7629</v>
      </c>
      <c r="E150" s="20">
        <v>1798131.4889</v>
      </c>
      <c r="F150" s="20">
        <v>0</v>
      </c>
      <c r="G150" s="20">
        <v>12035047.2718</v>
      </c>
      <c r="H150" s="19" t="s">
        <v>122</v>
      </c>
      <c r="I150" s="106">
        <v>94.883999999999986</v>
      </c>
      <c r="J150" s="106">
        <v>0</v>
      </c>
      <c r="K150" s="106">
        <v>0</v>
      </c>
      <c r="L150" s="106">
        <v>35.35</v>
      </c>
      <c r="M150" s="106">
        <v>18.93</v>
      </c>
      <c r="N150" s="106">
        <v>4.67</v>
      </c>
      <c r="O150" s="106">
        <v>8.4600000000000009</v>
      </c>
      <c r="P150" s="106">
        <v>-1.66</v>
      </c>
      <c r="Q150" s="106">
        <v>3.32</v>
      </c>
      <c r="R150" s="106">
        <v>1</v>
      </c>
      <c r="S150" s="106">
        <v>3</v>
      </c>
      <c r="T150" s="106">
        <v>8</v>
      </c>
      <c r="U150" s="106">
        <v>13.814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9">
        <v>0</v>
      </c>
    </row>
    <row r="151" spans="1:30" x14ac:dyDescent="0.2">
      <c r="A151" s="19" t="s">
        <v>280</v>
      </c>
      <c r="B151" s="19" t="s">
        <v>282</v>
      </c>
      <c r="C151" s="20">
        <v>2289199.7799999998</v>
      </c>
      <c r="D151" s="20">
        <v>83581.958499999993</v>
      </c>
      <c r="E151" s="20">
        <v>334380.25579999998</v>
      </c>
      <c r="F151" s="20">
        <v>0</v>
      </c>
      <c r="G151" s="20">
        <v>2707161.9942999999</v>
      </c>
      <c r="H151" s="19" t="s">
        <v>122</v>
      </c>
      <c r="I151" s="106">
        <v>23.675999999999998</v>
      </c>
      <c r="J151" s="106">
        <v>0</v>
      </c>
      <c r="K151" s="106">
        <v>0</v>
      </c>
      <c r="L151" s="106">
        <v>0</v>
      </c>
      <c r="M151" s="106">
        <v>4.88</v>
      </c>
      <c r="N151" s="106">
        <v>3.5</v>
      </c>
      <c r="O151" s="106">
        <v>8.85</v>
      </c>
      <c r="P151" s="106">
        <v>0</v>
      </c>
      <c r="Q151" s="106">
        <v>0</v>
      </c>
      <c r="R151" s="106">
        <v>1</v>
      </c>
      <c r="S151" s="106">
        <v>0</v>
      </c>
      <c r="T151" s="106">
        <v>2</v>
      </c>
      <c r="U151" s="106">
        <v>3.4460000000000002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9">
        <v>0</v>
      </c>
    </row>
    <row r="152" spans="1:30" x14ac:dyDescent="0.2">
      <c r="A152" s="19" t="s">
        <v>280</v>
      </c>
      <c r="B152" s="19" t="s">
        <v>283</v>
      </c>
      <c r="C152" s="20">
        <v>5880204.5999999996</v>
      </c>
      <c r="D152" s="20">
        <v>668110.83730000001</v>
      </c>
      <c r="E152" s="20">
        <v>1097359.1258</v>
      </c>
      <c r="F152" s="20">
        <v>0</v>
      </c>
      <c r="G152" s="20">
        <v>7645674.5630999999</v>
      </c>
      <c r="H152" s="19" t="s">
        <v>122</v>
      </c>
      <c r="I152" s="106">
        <v>60.92</v>
      </c>
      <c r="J152" s="106">
        <v>0</v>
      </c>
      <c r="K152" s="106">
        <v>0</v>
      </c>
      <c r="L152" s="106">
        <v>23</v>
      </c>
      <c r="M152" s="106">
        <v>10.95</v>
      </c>
      <c r="N152" s="106">
        <v>4</v>
      </c>
      <c r="O152" s="106">
        <v>6.15</v>
      </c>
      <c r="P152" s="106">
        <v>0</v>
      </c>
      <c r="Q152" s="106">
        <v>0</v>
      </c>
      <c r="R152" s="106">
        <v>1</v>
      </c>
      <c r="S152" s="106">
        <v>2</v>
      </c>
      <c r="T152" s="106">
        <v>5</v>
      </c>
      <c r="U152" s="106">
        <v>8.82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9">
        <v>0</v>
      </c>
    </row>
    <row r="153" spans="1:30" x14ac:dyDescent="0.2">
      <c r="A153" s="19" t="s">
        <v>280</v>
      </c>
      <c r="B153" s="19" t="s">
        <v>284</v>
      </c>
      <c r="C153" s="20">
        <v>3852114.42</v>
      </c>
      <c r="D153" s="20">
        <v>410009.74949999998</v>
      </c>
      <c r="E153" s="20">
        <v>629593.45180000004</v>
      </c>
      <c r="F153" s="20">
        <v>0</v>
      </c>
      <c r="G153" s="20">
        <v>4891717.6212999998</v>
      </c>
      <c r="H153" s="19" t="s">
        <v>122</v>
      </c>
      <c r="I153" s="106">
        <v>39.763999999999996</v>
      </c>
      <c r="J153" s="106">
        <v>0</v>
      </c>
      <c r="K153" s="106">
        <v>18.95</v>
      </c>
      <c r="L153" s="106">
        <v>0</v>
      </c>
      <c r="M153" s="106">
        <v>2.02</v>
      </c>
      <c r="N153" s="106">
        <v>3</v>
      </c>
      <c r="O153" s="106">
        <v>5</v>
      </c>
      <c r="P153" s="106">
        <v>0</v>
      </c>
      <c r="Q153" s="106">
        <v>0</v>
      </c>
      <c r="R153" s="106">
        <v>1</v>
      </c>
      <c r="S153" s="106">
        <v>1</v>
      </c>
      <c r="T153" s="106">
        <v>3</v>
      </c>
      <c r="U153" s="106">
        <v>5.7940000000000005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9">
        <v>0</v>
      </c>
    </row>
    <row r="154" spans="1:30" x14ac:dyDescent="0.2">
      <c r="A154" s="19" t="s">
        <v>280</v>
      </c>
      <c r="B154" s="19" t="s">
        <v>285</v>
      </c>
      <c r="C154" s="20">
        <v>10108310.1</v>
      </c>
      <c r="D154" s="20">
        <v>998426.73719999997</v>
      </c>
      <c r="E154" s="20">
        <v>1833420.7827000001</v>
      </c>
      <c r="F154" s="20">
        <v>0</v>
      </c>
      <c r="G154" s="20">
        <v>12940157.619899999</v>
      </c>
      <c r="H154" s="19" t="s">
        <v>122</v>
      </c>
      <c r="I154" s="106">
        <v>105.02</v>
      </c>
      <c r="J154" s="106">
        <v>0</v>
      </c>
      <c r="K154" s="106">
        <v>0</v>
      </c>
      <c r="L154" s="106">
        <v>40.15</v>
      </c>
      <c r="M154" s="106">
        <v>19.399999999999999</v>
      </c>
      <c r="N154" s="106">
        <v>4</v>
      </c>
      <c r="O154" s="106">
        <v>5.77</v>
      </c>
      <c r="P154" s="106">
        <v>-6.53</v>
      </c>
      <c r="Q154" s="106">
        <v>13.06</v>
      </c>
      <c r="R154" s="106">
        <v>1</v>
      </c>
      <c r="S154" s="106">
        <v>4</v>
      </c>
      <c r="T154" s="106">
        <v>9</v>
      </c>
      <c r="U154" s="106">
        <v>15.17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9">
        <v>0</v>
      </c>
    </row>
    <row r="155" spans="1:30" x14ac:dyDescent="0.2">
      <c r="A155" s="19" t="s">
        <v>280</v>
      </c>
      <c r="B155" s="19" t="s">
        <v>286</v>
      </c>
      <c r="C155" s="20">
        <v>4111732.92</v>
      </c>
      <c r="D155" s="20">
        <v>412535.78200000001</v>
      </c>
      <c r="E155" s="20">
        <v>647408.4608</v>
      </c>
      <c r="F155" s="20">
        <v>0</v>
      </c>
      <c r="G155" s="20">
        <v>5171677.1628999999</v>
      </c>
      <c r="H155" s="19" t="s">
        <v>122</v>
      </c>
      <c r="I155" s="106">
        <v>42.463999999999999</v>
      </c>
      <c r="J155" s="106">
        <v>0</v>
      </c>
      <c r="K155" s="106">
        <v>22.1</v>
      </c>
      <c r="L155" s="106">
        <v>0</v>
      </c>
      <c r="M155" s="106">
        <v>2.02</v>
      </c>
      <c r="N155" s="106">
        <v>1.33</v>
      </c>
      <c r="O155" s="106">
        <v>5.77</v>
      </c>
      <c r="P155" s="106">
        <v>0</v>
      </c>
      <c r="Q155" s="106">
        <v>0</v>
      </c>
      <c r="R155" s="106">
        <v>1</v>
      </c>
      <c r="S155" s="106">
        <v>1</v>
      </c>
      <c r="T155" s="106">
        <v>3</v>
      </c>
      <c r="U155" s="106">
        <v>6.2439999999999998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9">
        <v>0</v>
      </c>
    </row>
    <row r="156" spans="1:30" x14ac:dyDescent="0.2">
      <c r="A156" s="19" t="s">
        <v>280</v>
      </c>
      <c r="B156" s="19" t="s">
        <v>287</v>
      </c>
      <c r="C156" s="20">
        <v>4169425.92</v>
      </c>
      <c r="D156" s="20">
        <v>566623.7659</v>
      </c>
      <c r="E156" s="20">
        <v>756537.55980000005</v>
      </c>
      <c r="F156" s="20">
        <v>0</v>
      </c>
      <c r="G156" s="20">
        <v>5492587.2456999999</v>
      </c>
      <c r="H156" s="19" t="s">
        <v>122</v>
      </c>
      <c r="I156" s="106">
        <v>43.064</v>
      </c>
      <c r="J156" s="106">
        <v>0</v>
      </c>
      <c r="K156" s="106">
        <v>22.72</v>
      </c>
      <c r="L156" s="106">
        <v>0</v>
      </c>
      <c r="M156" s="106">
        <v>3.33</v>
      </c>
      <c r="N156" s="106">
        <v>0.67</v>
      </c>
      <c r="O156" s="106">
        <v>5</v>
      </c>
      <c r="P156" s="106">
        <v>0</v>
      </c>
      <c r="Q156" s="106">
        <v>0</v>
      </c>
      <c r="R156" s="106">
        <v>1</v>
      </c>
      <c r="S156" s="106">
        <v>1</v>
      </c>
      <c r="T156" s="106">
        <v>3</v>
      </c>
      <c r="U156" s="106">
        <v>6.3440000000000003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9">
        <v>0</v>
      </c>
    </row>
    <row r="157" spans="1:30" x14ac:dyDescent="0.2">
      <c r="A157" s="19" t="s">
        <v>280</v>
      </c>
      <c r="B157" s="19" t="s">
        <v>288</v>
      </c>
      <c r="C157" s="20">
        <v>39530620.859999999</v>
      </c>
      <c r="D157" s="20">
        <v>4258494.5933999997</v>
      </c>
      <c r="E157" s="20">
        <v>7096831.1256999997</v>
      </c>
      <c r="F157" s="20">
        <v>1743586.7276000001</v>
      </c>
      <c r="G157" s="20">
        <v>52629533.306699999</v>
      </c>
      <c r="H157" s="19" t="s">
        <v>144</v>
      </c>
      <c r="I157" s="106">
        <v>409.81200000000001</v>
      </c>
      <c r="J157" s="106">
        <v>12.603946666666667</v>
      </c>
      <c r="K157" s="106">
        <v>63.77</v>
      </c>
      <c r="L157" s="106">
        <v>98.5</v>
      </c>
      <c r="M157" s="106">
        <v>61.55</v>
      </c>
      <c r="N157" s="106">
        <v>21.17</v>
      </c>
      <c r="O157" s="106">
        <v>45</v>
      </c>
      <c r="P157" s="106">
        <v>-8.1999999999999993</v>
      </c>
      <c r="Q157" s="106">
        <v>16.39</v>
      </c>
      <c r="R157" s="106">
        <v>7</v>
      </c>
      <c r="S157" s="106">
        <v>12</v>
      </c>
      <c r="T157" s="106">
        <v>33</v>
      </c>
      <c r="U157" s="106">
        <v>59.632000000000005</v>
      </c>
      <c r="V157" s="106">
        <v>1</v>
      </c>
      <c r="W157" s="106">
        <v>1</v>
      </c>
      <c r="X157" s="106">
        <v>1.37</v>
      </c>
      <c r="Y157" s="106">
        <v>3</v>
      </c>
      <c r="Z157" s="106">
        <v>2.7320800000000003</v>
      </c>
      <c r="AA157" s="106">
        <v>1</v>
      </c>
      <c r="AB157" s="106">
        <v>1</v>
      </c>
      <c r="AC157" s="106">
        <v>0.50186666666666668</v>
      </c>
      <c r="AD157" s="19">
        <v>1</v>
      </c>
    </row>
    <row r="158" spans="1:30" x14ac:dyDescent="0.2">
      <c r="A158" s="19" t="s">
        <v>289</v>
      </c>
      <c r="B158" s="19" t="s">
        <v>290</v>
      </c>
      <c r="C158" s="20">
        <v>9156941.2599999998</v>
      </c>
      <c r="D158" s="20">
        <v>1831596.4643999999</v>
      </c>
      <c r="E158" s="20">
        <v>2148525.7829</v>
      </c>
      <c r="F158" s="20">
        <v>0</v>
      </c>
      <c r="G158" s="20">
        <v>13137063.507300001</v>
      </c>
      <c r="H158" s="19" t="s">
        <v>122</v>
      </c>
      <c r="I158" s="106">
        <v>95.292000000000002</v>
      </c>
      <c r="J158" s="106">
        <v>0</v>
      </c>
      <c r="K158" s="106">
        <v>21.17</v>
      </c>
      <c r="L158" s="106">
        <v>24.15</v>
      </c>
      <c r="M158" s="106">
        <v>13.57</v>
      </c>
      <c r="N158" s="106">
        <v>2.83</v>
      </c>
      <c r="O158" s="106">
        <v>7.69</v>
      </c>
      <c r="P158" s="106">
        <v>0</v>
      </c>
      <c r="Q158" s="106">
        <v>0</v>
      </c>
      <c r="R158" s="106">
        <v>1</v>
      </c>
      <c r="S158" s="106">
        <v>3</v>
      </c>
      <c r="T158" s="106">
        <v>8</v>
      </c>
      <c r="U158" s="106">
        <v>13.882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9">
        <v>0</v>
      </c>
    </row>
    <row r="159" spans="1:30" x14ac:dyDescent="0.2">
      <c r="A159" s="19" t="s">
        <v>289</v>
      </c>
      <c r="B159" s="19" t="s">
        <v>291</v>
      </c>
      <c r="C159" s="20">
        <v>3456340.44</v>
      </c>
      <c r="D159" s="20">
        <v>638888.10809999995</v>
      </c>
      <c r="E159" s="20">
        <v>812156.73190000001</v>
      </c>
      <c r="F159" s="20">
        <v>0</v>
      </c>
      <c r="G159" s="20">
        <v>4907385.28</v>
      </c>
      <c r="H159" s="19" t="s">
        <v>122</v>
      </c>
      <c r="I159" s="106">
        <v>35.647999999999996</v>
      </c>
      <c r="J159" s="106">
        <v>0</v>
      </c>
      <c r="K159" s="106">
        <v>0</v>
      </c>
      <c r="L159" s="106">
        <v>15.55</v>
      </c>
      <c r="M159" s="106">
        <v>5.12</v>
      </c>
      <c r="N159" s="106">
        <v>1.17</v>
      </c>
      <c r="O159" s="106">
        <v>1.54</v>
      </c>
      <c r="P159" s="106">
        <v>-2.17</v>
      </c>
      <c r="Q159" s="106">
        <v>4.33</v>
      </c>
      <c r="R159" s="106">
        <v>1</v>
      </c>
      <c r="S159" s="106">
        <v>1</v>
      </c>
      <c r="T159" s="106">
        <v>3</v>
      </c>
      <c r="U159" s="106">
        <v>5.1080000000000005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9">
        <v>0</v>
      </c>
    </row>
    <row r="160" spans="1:30" x14ac:dyDescent="0.2">
      <c r="A160" s="19" t="s">
        <v>289</v>
      </c>
      <c r="B160" s="19" t="s">
        <v>292</v>
      </c>
      <c r="C160" s="20">
        <v>6884232.7599999998</v>
      </c>
      <c r="D160" s="20">
        <v>1091518.4652</v>
      </c>
      <c r="E160" s="20">
        <v>1514291.9918</v>
      </c>
      <c r="F160" s="20">
        <v>0</v>
      </c>
      <c r="G160" s="20">
        <v>9490043.2170000002</v>
      </c>
      <c r="H160" s="19" t="s">
        <v>122</v>
      </c>
      <c r="I160" s="106">
        <v>71.591999999999999</v>
      </c>
      <c r="J160" s="106">
        <v>0</v>
      </c>
      <c r="K160" s="106">
        <v>0</v>
      </c>
      <c r="L160" s="106">
        <v>27.65</v>
      </c>
      <c r="M160" s="106">
        <v>11.79</v>
      </c>
      <c r="N160" s="106">
        <v>2.33</v>
      </c>
      <c r="O160" s="106">
        <v>6.54</v>
      </c>
      <c r="P160" s="106">
        <v>-3.86</v>
      </c>
      <c r="Q160" s="106">
        <v>7.71</v>
      </c>
      <c r="R160" s="106">
        <v>1</v>
      </c>
      <c r="S160" s="106">
        <v>2</v>
      </c>
      <c r="T160" s="106">
        <v>6</v>
      </c>
      <c r="U160" s="106">
        <v>10.432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9">
        <v>0</v>
      </c>
    </row>
    <row r="161" spans="1:30" x14ac:dyDescent="0.2">
      <c r="A161" s="19" t="s">
        <v>289</v>
      </c>
      <c r="B161" s="19" t="s">
        <v>293</v>
      </c>
      <c r="C161" s="20">
        <v>5756933.8899999997</v>
      </c>
      <c r="D161" s="20">
        <v>1025494.9093000001</v>
      </c>
      <c r="E161" s="20">
        <v>1238532.5260999999</v>
      </c>
      <c r="F161" s="20">
        <v>0</v>
      </c>
      <c r="G161" s="20">
        <v>8020961.3254000004</v>
      </c>
      <c r="H161" s="19" t="s">
        <v>122</v>
      </c>
      <c r="I161" s="106">
        <v>59.638000000000005</v>
      </c>
      <c r="J161" s="106">
        <v>0</v>
      </c>
      <c r="K161" s="106">
        <v>23.15</v>
      </c>
      <c r="L161" s="106">
        <v>0</v>
      </c>
      <c r="M161" s="106">
        <v>5.71</v>
      </c>
      <c r="N161" s="106">
        <v>4.17</v>
      </c>
      <c r="O161" s="106">
        <v>10</v>
      </c>
      <c r="P161" s="106">
        <v>0</v>
      </c>
      <c r="Q161" s="106">
        <v>0</v>
      </c>
      <c r="R161" s="106">
        <v>1</v>
      </c>
      <c r="S161" s="106">
        <v>2</v>
      </c>
      <c r="T161" s="106">
        <v>5</v>
      </c>
      <c r="U161" s="106">
        <v>8.6080000000000005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9">
        <v>0</v>
      </c>
    </row>
    <row r="162" spans="1:30" x14ac:dyDescent="0.2">
      <c r="A162" s="19" t="s">
        <v>289</v>
      </c>
      <c r="B162" s="19" t="s">
        <v>294</v>
      </c>
      <c r="C162" s="20">
        <v>25255409.899999999</v>
      </c>
      <c r="D162" s="20">
        <v>4587497.9469999997</v>
      </c>
      <c r="E162" s="20">
        <v>5713507.0325999996</v>
      </c>
      <c r="F162" s="20">
        <v>1048546.1109</v>
      </c>
      <c r="G162" s="20">
        <v>36604960.990599997</v>
      </c>
      <c r="H162" s="19" t="s">
        <v>144</v>
      </c>
      <c r="I162" s="106">
        <v>262.17999999999995</v>
      </c>
      <c r="J162" s="106">
        <v>8.0810666666666648</v>
      </c>
      <c r="K162" s="106">
        <v>44.32</v>
      </c>
      <c r="L162" s="106">
        <v>67.349999999999994</v>
      </c>
      <c r="M162" s="106">
        <v>36.19</v>
      </c>
      <c r="N162" s="106">
        <v>10.5</v>
      </c>
      <c r="O162" s="106">
        <v>25.77</v>
      </c>
      <c r="P162" s="106">
        <v>-6.02</v>
      </c>
      <c r="Q162" s="106">
        <v>12.04</v>
      </c>
      <c r="R162" s="106">
        <v>4</v>
      </c>
      <c r="S162" s="106">
        <v>8</v>
      </c>
      <c r="T162" s="106">
        <v>22</v>
      </c>
      <c r="U162" s="106">
        <v>38.03</v>
      </c>
      <c r="V162" s="106">
        <v>1</v>
      </c>
      <c r="W162" s="106">
        <v>1</v>
      </c>
      <c r="X162" s="106">
        <v>0</v>
      </c>
      <c r="Y162" s="106">
        <v>1</v>
      </c>
      <c r="Z162" s="106">
        <v>1.7478666666666662</v>
      </c>
      <c r="AA162" s="106">
        <v>1</v>
      </c>
      <c r="AB162" s="106">
        <v>1</v>
      </c>
      <c r="AC162" s="106">
        <v>0.3332</v>
      </c>
      <c r="AD162" s="19">
        <v>1</v>
      </c>
    </row>
    <row r="163" spans="1:30" x14ac:dyDescent="0.2">
      <c r="A163" s="19" t="s">
        <v>295</v>
      </c>
      <c r="B163" s="19" t="s">
        <v>296</v>
      </c>
      <c r="C163" s="20">
        <v>3923653.74</v>
      </c>
      <c r="D163" s="20">
        <v>673682.96790000005</v>
      </c>
      <c r="E163" s="20">
        <v>819766.23939999996</v>
      </c>
      <c r="F163" s="20">
        <v>0</v>
      </c>
      <c r="G163" s="20">
        <v>5417102.9472000003</v>
      </c>
      <c r="H163" s="19" t="s">
        <v>122</v>
      </c>
      <c r="I163" s="106">
        <v>40.508000000000003</v>
      </c>
      <c r="J163" s="106">
        <v>0</v>
      </c>
      <c r="K163" s="106">
        <v>18.329999999999998</v>
      </c>
      <c r="L163" s="106">
        <v>0</v>
      </c>
      <c r="M163" s="106">
        <v>2.86</v>
      </c>
      <c r="N163" s="106">
        <v>4.17</v>
      </c>
      <c r="O163" s="106">
        <v>4.2300000000000004</v>
      </c>
      <c r="P163" s="106">
        <v>0</v>
      </c>
      <c r="Q163" s="106">
        <v>0</v>
      </c>
      <c r="R163" s="106">
        <v>1</v>
      </c>
      <c r="S163" s="106">
        <v>1</v>
      </c>
      <c r="T163" s="106">
        <v>3</v>
      </c>
      <c r="U163" s="106">
        <v>5.9180000000000001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9">
        <v>0</v>
      </c>
    </row>
    <row r="164" spans="1:30" x14ac:dyDescent="0.2">
      <c r="A164" s="19" t="s">
        <v>295</v>
      </c>
      <c r="B164" s="19" t="s">
        <v>297</v>
      </c>
      <c r="C164" s="20">
        <v>6445596</v>
      </c>
      <c r="D164" s="20">
        <v>990922.93469999998</v>
      </c>
      <c r="E164" s="20">
        <v>1382545.2948</v>
      </c>
      <c r="F164" s="20">
        <v>0</v>
      </c>
      <c r="G164" s="20">
        <v>8819064.2295999993</v>
      </c>
      <c r="H164" s="19" t="s">
        <v>122</v>
      </c>
      <c r="I164" s="106">
        <v>66.8</v>
      </c>
      <c r="J164" s="106">
        <v>0</v>
      </c>
      <c r="K164" s="106">
        <v>0</v>
      </c>
      <c r="L164" s="106">
        <v>28.25</v>
      </c>
      <c r="M164" s="106">
        <v>11.07</v>
      </c>
      <c r="N164" s="106">
        <v>3.17</v>
      </c>
      <c r="O164" s="106">
        <v>5</v>
      </c>
      <c r="P164" s="106">
        <v>-1.52</v>
      </c>
      <c r="Q164" s="106">
        <v>3.03</v>
      </c>
      <c r="R164" s="106">
        <v>1</v>
      </c>
      <c r="S164" s="106">
        <v>2</v>
      </c>
      <c r="T164" s="106">
        <v>5</v>
      </c>
      <c r="U164" s="106">
        <v>9.8000000000000007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9">
        <v>0</v>
      </c>
    </row>
    <row r="165" spans="1:30" x14ac:dyDescent="0.2">
      <c r="A165" s="19" t="s">
        <v>295</v>
      </c>
      <c r="B165" s="19" t="s">
        <v>298</v>
      </c>
      <c r="C165" s="20">
        <v>6349825.6200000001</v>
      </c>
      <c r="D165" s="20">
        <v>1051993.4857000001</v>
      </c>
      <c r="E165" s="20">
        <v>1402372.1991999999</v>
      </c>
      <c r="F165" s="20">
        <v>0</v>
      </c>
      <c r="G165" s="20">
        <v>8804191.3049999997</v>
      </c>
      <c r="H165" s="19" t="s">
        <v>122</v>
      </c>
      <c r="I165" s="106">
        <v>65.804000000000002</v>
      </c>
      <c r="J165" s="106">
        <v>0</v>
      </c>
      <c r="K165" s="106">
        <v>0</v>
      </c>
      <c r="L165" s="106">
        <v>28.55</v>
      </c>
      <c r="M165" s="106">
        <v>10.71</v>
      </c>
      <c r="N165" s="106">
        <v>5.83</v>
      </c>
      <c r="O165" s="106">
        <v>3.08</v>
      </c>
      <c r="P165" s="106">
        <v>0</v>
      </c>
      <c r="Q165" s="106">
        <v>0</v>
      </c>
      <c r="R165" s="106">
        <v>1</v>
      </c>
      <c r="S165" s="106">
        <v>2</v>
      </c>
      <c r="T165" s="106">
        <v>5</v>
      </c>
      <c r="U165" s="106">
        <v>9.6340000000000003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9">
        <v>0</v>
      </c>
    </row>
    <row r="166" spans="1:30" x14ac:dyDescent="0.2">
      <c r="A166" s="19" t="s">
        <v>295</v>
      </c>
      <c r="B166" s="19" t="s">
        <v>299</v>
      </c>
      <c r="C166" s="20">
        <v>11690840.359999999</v>
      </c>
      <c r="D166" s="20">
        <v>1705790.1387</v>
      </c>
      <c r="E166" s="20">
        <v>2458682.1694999998</v>
      </c>
      <c r="F166" s="20">
        <v>0</v>
      </c>
      <c r="G166" s="20">
        <v>15855312.668199999</v>
      </c>
      <c r="H166" s="19" t="s">
        <v>122</v>
      </c>
      <c r="I166" s="106">
        <v>121.312</v>
      </c>
      <c r="J166" s="106">
        <v>0</v>
      </c>
      <c r="K166" s="106">
        <v>0</v>
      </c>
      <c r="L166" s="106">
        <v>51.7</v>
      </c>
      <c r="M166" s="106">
        <v>18.21</v>
      </c>
      <c r="N166" s="106">
        <v>5.5</v>
      </c>
      <c r="O166" s="106">
        <v>4.2300000000000004</v>
      </c>
      <c r="P166" s="106">
        <v>-8.1199999999999992</v>
      </c>
      <c r="Q166" s="106">
        <v>16.239999999999998</v>
      </c>
      <c r="R166" s="106">
        <v>1</v>
      </c>
      <c r="S166" s="106">
        <v>5</v>
      </c>
      <c r="T166" s="106">
        <v>10</v>
      </c>
      <c r="U166" s="106">
        <v>17.552000000000003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9">
        <v>0</v>
      </c>
    </row>
    <row r="167" spans="1:30" x14ac:dyDescent="0.2">
      <c r="A167" s="19" t="s">
        <v>295</v>
      </c>
      <c r="B167" s="19" t="s">
        <v>300</v>
      </c>
      <c r="C167" s="20">
        <v>4640370.76</v>
      </c>
      <c r="D167" s="20">
        <v>950258.76410000003</v>
      </c>
      <c r="E167" s="20">
        <v>1080825.8888999999</v>
      </c>
      <c r="F167" s="20">
        <v>0</v>
      </c>
      <c r="G167" s="20">
        <v>6671455.4129999997</v>
      </c>
      <c r="H167" s="19" t="s">
        <v>122</v>
      </c>
      <c r="I167" s="106">
        <v>48.191999999999993</v>
      </c>
      <c r="J167" s="106">
        <v>0</v>
      </c>
      <c r="K167" s="106">
        <v>17.47</v>
      </c>
      <c r="L167" s="106">
        <v>6.6</v>
      </c>
      <c r="M167" s="106">
        <v>4.4000000000000004</v>
      </c>
      <c r="N167" s="106">
        <v>4</v>
      </c>
      <c r="O167" s="106">
        <v>2.69</v>
      </c>
      <c r="P167" s="106">
        <v>0</v>
      </c>
      <c r="Q167" s="106">
        <v>0</v>
      </c>
      <c r="R167" s="106">
        <v>1</v>
      </c>
      <c r="S167" s="106">
        <v>1</v>
      </c>
      <c r="T167" s="106">
        <v>4</v>
      </c>
      <c r="U167" s="106">
        <v>7.032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9">
        <v>0</v>
      </c>
    </row>
    <row r="168" spans="1:30" x14ac:dyDescent="0.2">
      <c r="A168" s="19" t="s">
        <v>295</v>
      </c>
      <c r="B168" s="19" t="s">
        <v>301</v>
      </c>
      <c r="C168" s="20">
        <v>4783641.71</v>
      </c>
      <c r="D168" s="20">
        <v>647060.56629999995</v>
      </c>
      <c r="E168" s="20">
        <v>899284.78139999998</v>
      </c>
      <c r="F168" s="20">
        <v>0</v>
      </c>
      <c r="G168" s="20">
        <v>6329987.0576999998</v>
      </c>
      <c r="H168" s="19" t="s">
        <v>122</v>
      </c>
      <c r="I168" s="106">
        <v>49.682000000000002</v>
      </c>
      <c r="J168" s="106">
        <v>0</v>
      </c>
      <c r="K168" s="106">
        <v>21.6</v>
      </c>
      <c r="L168" s="106">
        <v>0</v>
      </c>
      <c r="M168" s="106">
        <v>4.4000000000000004</v>
      </c>
      <c r="N168" s="106">
        <v>6.17</v>
      </c>
      <c r="O168" s="106">
        <v>4.2300000000000004</v>
      </c>
      <c r="P168" s="106">
        <v>0</v>
      </c>
      <c r="Q168" s="106">
        <v>0</v>
      </c>
      <c r="R168" s="106">
        <v>1</v>
      </c>
      <c r="S168" s="106">
        <v>1</v>
      </c>
      <c r="T168" s="106">
        <v>4</v>
      </c>
      <c r="U168" s="106">
        <v>7.282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9">
        <v>0</v>
      </c>
    </row>
    <row r="169" spans="1:30" x14ac:dyDescent="0.2">
      <c r="A169" s="19" t="s">
        <v>295</v>
      </c>
      <c r="B169" s="19" t="s">
        <v>302</v>
      </c>
      <c r="C169" s="20">
        <v>6046360.4400000004</v>
      </c>
      <c r="D169" s="20">
        <v>1027921.8817</v>
      </c>
      <c r="E169" s="20">
        <v>1264460.0164999999</v>
      </c>
      <c r="F169" s="20">
        <v>0</v>
      </c>
      <c r="G169" s="20">
        <v>8338742.3381000003</v>
      </c>
      <c r="H169" s="19" t="s">
        <v>122</v>
      </c>
      <c r="I169" s="106">
        <v>62.64800000000001</v>
      </c>
      <c r="J169" s="106">
        <v>0</v>
      </c>
      <c r="K169" s="106">
        <v>21.98</v>
      </c>
      <c r="L169" s="106">
        <v>8.8000000000000007</v>
      </c>
      <c r="M169" s="106">
        <v>4.88</v>
      </c>
      <c r="N169" s="106">
        <v>4.5</v>
      </c>
      <c r="O169" s="106">
        <v>5.38</v>
      </c>
      <c r="P169" s="106">
        <v>0</v>
      </c>
      <c r="Q169" s="106">
        <v>0</v>
      </c>
      <c r="R169" s="106">
        <v>1</v>
      </c>
      <c r="S169" s="106">
        <v>2</v>
      </c>
      <c r="T169" s="106">
        <v>5</v>
      </c>
      <c r="U169" s="106">
        <v>9.1080000000000005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9">
        <v>0</v>
      </c>
    </row>
    <row r="170" spans="1:30" x14ac:dyDescent="0.2">
      <c r="A170" s="19" t="s">
        <v>295</v>
      </c>
      <c r="B170" s="19" t="s">
        <v>303</v>
      </c>
      <c r="C170" s="20">
        <v>43882211.729999997</v>
      </c>
      <c r="D170" s="20">
        <v>7047630.7391999997</v>
      </c>
      <c r="E170" s="20">
        <v>9307936.5896000005</v>
      </c>
      <c r="F170" s="20">
        <v>1815224.2312</v>
      </c>
      <c r="G170" s="20">
        <v>62053003.289999999</v>
      </c>
      <c r="H170" s="19" t="s">
        <v>144</v>
      </c>
      <c r="I170" s="106">
        <v>454.96600000000001</v>
      </c>
      <c r="J170" s="106">
        <v>13.154973333333333</v>
      </c>
      <c r="K170" s="106">
        <v>79.38</v>
      </c>
      <c r="L170" s="106">
        <v>123.9</v>
      </c>
      <c r="M170" s="106">
        <v>56.55</v>
      </c>
      <c r="N170" s="106">
        <v>33.33</v>
      </c>
      <c r="O170" s="106">
        <v>28.85</v>
      </c>
      <c r="P170" s="106">
        <v>-9.64</v>
      </c>
      <c r="Q170" s="106">
        <v>19.27</v>
      </c>
      <c r="R170" s="106">
        <v>7</v>
      </c>
      <c r="S170" s="106">
        <v>14</v>
      </c>
      <c r="T170" s="106">
        <v>36</v>
      </c>
      <c r="U170" s="106">
        <v>66.326000000000008</v>
      </c>
      <c r="V170" s="106">
        <v>1</v>
      </c>
      <c r="W170" s="106">
        <v>1</v>
      </c>
      <c r="X170" s="106">
        <v>1.52</v>
      </c>
      <c r="Y170" s="106">
        <v>3</v>
      </c>
      <c r="Z170" s="106">
        <v>3.0331066666666668</v>
      </c>
      <c r="AA170" s="106">
        <v>1</v>
      </c>
      <c r="AB170" s="106">
        <v>1</v>
      </c>
      <c r="AC170" s="106">
        <v>0.60186666666666666</v>
      </c>
      <c r="AD170" s="19">
        <v>1</v>
      </c>
    </row>
    <row r="171" spans="1:30" x14ac:dyDescent="0.2">
      <c r="A171" s="19" t="s">
        <v>304</v>
      </c>
      <c r="B171" s="19" t="s">
        <v>305</v>
      </c>
      <c r="C171" s="20">
        <v>1313262.6399999999</v>
      </c>
      <c r="D171" s="20">
        <v>22387.582399999999</v>
      </c>
      <c r="E171" s="20">
        <v>161470.82860000001</v>
      </c>
      <c r="F171" s="20">
        <v>0</v>
      </c>
      <c r="G171" s="20">
        <v>1497121.0508999999</v>
      </c>
      <c r="H171" s="19" t="s">
        <v>122</v>
      </c>
      <c r="I171" s="106">
        <v>13.888</v>
      </c>
      <c r="J171" s="106">
        <v>0</v>
      </c>
      <c r="K171" s="106">
        <v>0</v>
      </c>
      <c r="L171" s="106">
        <v>0</v>
      </c>
      <c r="M171" s="106">
        <v>0</v>
      </c>
      <c r="N171" s="106">
        <v>3.33</v>
      </c>
      <c r="O171" s="106">
        <v>6.15</v>
      </c>
      <c r="P171" s="106">
        <v>-1.27</v>
      </c>
      <c r="Q171" s="106">
        <v>2.5299999999999998</v>
      </c>
      <c r="R171" s="106">
        <v>0</v>
      </c>
      <c r="S171" s="106">
        <v>0</v>
      </c>
      <c r="T171" s="106">
        <v>1</v>
      </c>
      <c r="U171" s="106">
        <v>2.1480000000000001</v>
      </c>
      <c r="V171" s="106">
        <v>0</v>
      </c>
      <c r="W171" s="106">
        <v>0</v>
      </c>
      <c r="X171" s="106">
        <v>0</v>
      </c>
      <c r="Y171" s="106">
        <v>0</v>
      </c>
      <c r="Z171" s="106">
        <v>0</v>
      </c>
      <c r="AA171" s="106">
        <v>0</v>
      </c>
      <c r="AB171" s="106">
        <v>0</v>
      </c>
      <c r="AC171" s="106">
        <v>0</v>
      </c>
      <c r="AD171" s="19">
        <v>0</v>
      </c>
    </row>
    <row r="172" spans="1:30" x14ac:dyDescent="0.2">
      <c r="A172" s="19" t="s">
        <v>304</v>
      </c>
      <c r="B172" s="19" t="s">
        <v>306</v>
      </c>
      <c r="C172" s="20">
        <v>16520106.92</v>
      </c>
      <c r="D172" s="20">
        <v>1833206.1910000001</v>
      </c>
      <c r="E172" s="20">
        <v>3649448.4054</v>
      </c>
      <c r="F172" s="20">
        <v>0</v>
      </c>
      <c r="G172" s="20">
        <v>22002761.5165</v>
      </c>
      <c r="H172" s="19" t="s">
        <v>122</v>
      </c>
      <c r="I172" s="106">
        <v>171.66399999999999</v>
      </c>
      <c r="J172" s="106">
        <v>0</v>
      </c>
      <c r="K172" s="106">
        <v>0</v>
      </c>
      <c r="L172" s="106">
        <v>72.05</v>
      </c>
      <c r="M172" s="106">
        <v>18.329999999999998</v>
      </c>
      <c r="N172" s="106">
        <v>6.33</v>
      </c>
      <c r="O172" s="106">
        <v>0.38</v>
      </c>
      <c r="P172" s="106">
        <v>-27.64</v>
      </c>
      <c r="Q172" s="106">
        <v>55.27</v>
      </c>
      <c r="R172" s="106">
        <v>1</v>
      </c>
      <c r="S172" s="106">
        <v>7</v>
      </c>
      <c r="T172" s="106">
        <v>14</v>
      </c>
      <c r="U172" s="106">
        <v>24.944000000000003</v>
      </c>
      <c r="V172" s="106">
        <v>0</v>
      </c>
      <c r="W172" s="106">
        <v>0</v>
      </c>
      <c r="X172" s="106">
        <v>0</v>
      </c>
      <c r="Y172" s="106">
        <v>0</v>
      </c>
      <c r="Z172" s="106">
        <v>0</v>
      </c>
      <c r="AA172" s="106">
        <v>0</v>
      </c>
      <c r="AB172" s="106">
        <v>0</v>
      </c>
      <c r="AC172" s="106">
        <v>0</v>
      </c>
      <c r="AD172" s="19">
        <v>0</v>
      </c>
    </row>
    <row r="173" spans="1:30" x14ac:dyDescent="0.2">
      <c r="A173" s="19" t="s">
        <v>304</v>
      </c>
      <c r="B173" s="19" t="s">
        <v>307</v>
      </c>
      <c r="C173" s="20">
        <v>12072768.02</v>
      </c>
      <c r="D173" s="20">
        <v>1120270.6588999999</v>
      </c>
      <c r="E173" s="20">
        <v>2512110.9715999998</v>
      </c>
      <c r="F173" s="20">
        <v>0</v>
      </c>
      <c r="G173" s="20">
        <v>15705149.6505</v>
      </c>
      <c r="H173" s="19" t="s">
        <v>122</v>
      </c>
      <c r="I173" s="106">
        <v>125.28399999999999</v>
      </c>
      <c r="J173" s="106">
        <v>0</v>
      </c>
      <c r="K173" s="106">
        <v>0</v>
      </c>
      <c r="L173" s="106">
        <v>50.2</v>
      </c>
      <c r="M173" s="106">
        <v>13.93</v>
      </c>
      <c r="N173" s="106">
        <v>2.83</v>
      </c>
      <c r="O173" s="106">
        <v>5</v>
      </c>
      <c r="P173" s="106">
        <v>-19.11</v>
      </c>
      <c r="Q173" s="106">
        <v>38.22</v>
      </c>
      <c r="R173" s="106">
        <v>1</v>
      </c>
      <c r="S173" s="106">
        <v>5</v>
      </c>
      <c r="T173" s="106">
        <v>10</v>
      </c>
      <c r="U173" s="106">
        <v>18.213999999999999</v>
      </c>
      <c r="V173" s="106">
        <v>0</v>
      </c>
      <c r="W173" s="106">
        <v>0</v>
      </c>
      <c r="X173" s="106">
        <v>0</v>
      </c>
      <c r="Y173" s="106">
        <v>0</v>
      </c>
      <c r="Z173" s="106">
        <v>0</v>
      </c>
      <c r="AA173" s="106">
        <v>0</v>
      </c>
      <c r="AB173" s="106">
        <v>0</v>
      </c>
      <c r="AC173" s="106">
        <v>0</v>
      </c>
      <c r="AD173" s="19">
        <v>0</v>
      </c>
    </row>
    <row r="174" spans="1:30" x14ac:dyDescent="0.2">
      <c r="A174" s="19" t="s">
        <v>304</v>
      </c>
      <c r="B174" s="19" t="s">
        <v>308</v>
      </c>
      <c r="C174" s="20">
        <v>9320789.3800000008</v>
      </c>
      <c r="D174" s="20">
        <v>1481617.1348000001</v>
      </c>
      <c r="E174" s="20">
        <v>2348514.6729000001</v>
      </c>
      <c r="F174" s="20">
        <v>0</v>
      </c>
      <c r="G174" s="20">
        <v>13150921.1877</v>
      </c>
      <c r="H174" s="19" t="s">
        <v>122</v>
      </c>
      <c r="I174" s="106">
        <v>96.995999999999995</v>
      </c>
      <c r="J174" s="106">
        <v>0</v>
      </c>
      <c r="K174" s="106">
        <v>0</v>
      </c>
      <c r="L174" s="106">
        <v>40.6</v>
      </c>
      <c r="M174" s="106">
        <v>8.4499999999999993</v>
      </c>
      <c r="N174" s="106">
        <v>4</v>
      </c>
      <c r="O174" s="106">
        <v>2.31</v>
      </c>
      <c r="P174" s="106">
        <v>-15.48</v>
      </c>
      <c r="Q174" s="106">
        <v>30.95</v>
      </c>
      <c r="R174" s="106">
        <v>1</v>
      </c>
      <c r="S174" s="106">
        <v>3</v>
      </c>
      <c r="T174" s="106">
        <v>8</v>
      </c>
      <c r="U174" s="106">
        <v>14.166</v>
      </c>
      <c r="V174" s="106">
        <v>0</v>
      </c>
      <c r="W174" s="106">
        <v>0</v>
      </c>
      <c r="X174" s="106">
        <v>0</v>
      </c>
      <c r="Y174" s="106">
        <v>0</v>
      </c>
      <c r="Z174" s="106">
        <v>0</v>
      </c>
      <c r="AA174" s="106">
        <v>0</v>
      </c>
      <c r="AB174" s="106">
        <v>0</v>
      </c>
      <c r="AC174" s="106">
        <v>0</v>
      </c>
      <c r="AD174" s="19">
        <v>0</v>
      </c>
    </row>
    <row r="175" spans="1:30" x14ac:dyDescent="0.2">
      <c r="A175" s="19" t="s">
        <v>304</v>
      </c>
      <c r="B175" s="19" t="s">
        <v>309</v>
      </c>
      <c r="C175" s="20">
        <v>12441019.32</v>
      </c>
      <c r="D175" s="20">
        <v>575093.4044</v>
      </c>
      <c r="E175" s="20">
        <v>2214772.3054999998</v>
      </c>
      <c r="F175" s="20">
        <v>0</v>
      </c>
      <c r="G175" s="20">
        <v>15230885.029899999</v>
      </c>
      <c r="H175" s="19" t="s">
        <v>122</v>
      </c>
      <c r="I175" s="106">
        <v>129.34399999999999</v>
      </c>
      <c r="J175" s="106">
        <v>0</v>
      </c>
      <c r="K175" s="106">
        <v>0</v>
      </c>
      <c r="L175" s="106">
        <v>52.5</v>
      </c>
      <c r="M175" s="106">
        <v>13.69</v>
      </c>
      <c r="N175" s="106">
        <v>5.83</v>
      </c>
      <c r="O175" s="106">
        <v>1.54</v>
      </c>
      <c r="P175" s="106">
        <v>-20.07</v>
      </c>
      <c r="Q175" s="106">
        <v>40.130000000000003</v>
      </c>
      <c r="R175" s="106">
        <v>1</v>
      </c>
      <c r="S175" s="106">
        <v>5</v>
      </c>
      <c r="T175" s="106">
        <v>11</v>
      </c>
      <c r="U175" s="106">
        <v>18.724</v>
      </c>
      <c r="V175" s="106">
        <v>0</v>
      </c>
      <c r="W175" s="106">
        <v>0</v>
      </c>
      <c r="X175" s="106">
        <v>0</v>
      </c>
      <c r="Y175" s="106">
        <v>0</v>
      </c>
      <c r="Z175" s="106">
        <v>0</v>
      </c>
      <c r="AA175" s="106">
        <v>0</v>
      </c>
      <c r="AB175" s="106">
        <v>0</v>
      </c>
      <c r="AC175" s="106">
        <v>0</v>
      </c>
      <c r="AD175" s="19">
        <v>0</v>
      </c>
    </row>
    <row r="176" spans="1:30" x14ac:dyDescent="0.2">
      <c r="A176" s="19" t="s">
        <v>304</v>
      </c>
      <c r="B176" s="19" t="s">
        <v>310</v>
      </c>
      <c r="C176" s="20">
        <v>51670830.93</v>
      </c>
      <c r="D176" s="20">
        <v>5032574.9715999998</v>
      </c>
      <c r="E176" s="20">
        <v>10886317.184</v>
      </c>
      <c r="F176" s="20">
        <v>2096009.8441000001</v>
      </c>
      <c r="G176" s="20">
        <v>69685732.9296</v>
      </c>
      <c r="H176" s="19" t="s">
        <v>144</v>
      </c>
      <c r="I176" s="106">
        <v>537.20600000000002</v>
      </c>
      <c r="J176" s="106">
        <v>15.029773333333335</v>
      </c>
      <c r="K176" s="106">
        <v>0</v>
      </c>
      <c r="L176" s="106">
        <v>215.35</v>
      </c>
      <c r="M176" s="106">
        <v>54.4</v>
      </c>
      <c r="N176" s="106">
        <v>22.33</v>
      </c>
      <c r="O176" s="106">
        <v>15.38</v>
      </c>
      <c r="P176" s="106">
        <v>-83.55</v>
      </c>
      <c r="Q176" s="106">
        <v>167.1</v>
      </c>
      <c r="R176" s="106">
        <v>4</v>
      </c>
      <c r="S176" s="106">
        <v>20</v>
      </c>
      <c r="T176" s="106">
        <v>44</v>
      </c>
      <c r="U176" s="106">
        <v>78.195999999999998</v>
      </c>
      <c r="V176" s="106">
        <v>1</v>
      </c>
      <c r="W176" s="106">
        <v>1</v>
      </c>
      <c r="X176" s="106">
        <v>1.79</v>
      </c>
      <c r="Y176" s="106">
        <v>4</v>
      </c>
      <c r="Z176" s="106">
        <v>3.5813733333333335</v>
      </c>
      <c r="AA176" s="106">
        <v>1</v>
      </c>
      <c r="AB176" s="106">
        <v>1</v>
      </c>
      <c r="AC176" s="106">
        <v>0.65839999999999999</v>
      </c>
      <c r="AD176" s="19">
        <v>1</v>
      </c>
    </row>
    <row r="177" spans="1:30" x14ac:dyDescent="0.2">
      <c r="A177" s="19" t="s">
        <v>311</v>
      </c>
      <c r="B177" s="19" t="s">
        <v>312</v>
      </c>
      <c r="C177" s="20">
        <v>12889870.859999999</v>
      </c>
      <c r="D177" s="20">
        <v>711152.45030000003</v>
      </c>
      <c r="E177" s="20">
        <v>2384420.5153000001</v>
      </c>
      <c r="F177" s="20">
        <v>0</v>
      </c>
      <c r="G177" s="20">
        <v>15985443.8256</v>
      </c>
      <c r="H177" s="19" t="s">
        <v>122</v>
      </c>
      <c r="I177" s="106">
        <v>134.012</v>
      </c>
      <c r="J177" s="106">
        <v>0</v>
      </c>
      <c r="K177" s="106">
        <v>0</v>
      </c>
      <c r="L177" s="106">
        <v>54.2</v>
      </c>
      <c r="M177" s="106">
        <v>17.14</v>
      </c>
      <c r="N177" s="106">
        <v>3</v>
      </c>
      <c r="O177" s="106">
        <v>2.31</v>
      </c>
      <c r="P177" s="106">
        <v>-20.87</v>
      </c>
      <c r="Q177" s="106">
        <v>41.73</v>
      </c>
      <c r="R177" s="106">
        <v>1</v>
      </c>
      <c r="S177" s="106">
        <v>5</v>
      </c>
      <c r="T177" s="106">
        <v>11</v>
      </c>
      <c r="U177" s="106">
        <v>19.502000000000002</v>
      </c>
      <c r="V177" s="106">
        <v>0</v>
      </c>
      <c r="W177" s="106">
        <v>0</v>
      </c>
      <c r="X177" s="106">
        <v>0</v>
      </c>
      <c r="Y177" s="106">
        <v>0</v>
      </c>
      <c r="Z177" s="106">
        <v>0</v>
      </c>
      <c r="AA177" s="106">
        <v>0</v>
      </c>
      <c r="AB177" s="106">
        <v>0</v>
      </c>
      <c r="AC177" s="106">
        <v>0</v>
      </c>
      <c r="AD177" s="19">
        <v>0</v>
      </c>
    </row>
    <row r="178" spans="1:30" x14ac:dyDescent="0.2">
      <c r="A178" s="19" t="s">
        <v>311</v>
      </c>
      <c r="B178" s="19" t="s">
        <v>313</v>
      </c>
      <c r="C178" s="20">
        <v>12889870.859999999</v>
      </c>
      <c r="D178" s="20">
        <v>711152.45030000003</v>
      </c>
      <c r="E178" s="20">
        <v>2384420.5153000001</v>
      </c>
      <c r="F178" s="20">
        <v>764835.97569999995</v>
      </c>
      <c r="G178" s="20">
        <v>16750279.8013</v>
      </c>
      <c r="H178" s="19" t="s">
        <v>144</v>
      </c>
      <c r="I178" s="106">
        <v>134.012</v>
      </c>
      <c r="J178" s="106">
        <v>6.0603466666666668</v>
      </c>
      <c r="K178" s="106">
        <v>0</v>
      </c>
      <c r="L178" s="106">
        <v>54.2</v>
      </c>
      <c r="M178" s="106">
        <v>17.14</v>
      </c>
      <c r="N178" s="106">
        <v>3</v>
      </c>
      <c r="O178" s="106">
        <v>2.31</v>
      </c>
      <c r="P178" s="106">
        <v>-20.87</v>
      </c>
      <c r="Q178" s="106">
        <v>41.73</v>
      </c>
      <c r="R178" s="106">
        <v>1</v>
      </c>
      <c r="S178" s="106">
        <v>5</v>
      </c>
      <c r="T178" s="106">
        <v>11</v>
      </c>
      <c r="U178" s="106">
        <v>19.502000000000002</v>
      </c>
      <c r="V178" s="106">
        <v>1</v>
      </c>
      <c r="W178" s="106">
        <v>1</v>
      </c>
      <c r="X178" s="106">
        <v>0</v>
      </c>
      <c r="Y178" s="106">
        <v>0</v>
      </c>
      <c r="Z178" s="106">
        <v>0.89341333333333328</v>
      </c>
      <c r="AA178" s="106">
        <v>1</v>
      </c>
      <c r="AB178" s="106">
        <v>1</v>
      </c>
      <c r="AC178" s="106">
        <v>0.16693333333333332</v>
      </c>
      <c r="AD178" s="19">
        <v>1</v>
      </c>
    </row>
    <row r="179" spans="1:30" x14ac:dyDescent="0.2">
      <c r="A179" s="19" t="s">
        <v>314</v>
      </c>
      <c r="B179" s="19" t="s">
        <v>315</v>
      </c>
      <c r="C179" s="20">
        <v>5717510.3399999999</v>
      </c>
      <c r="D179" s="20">
        <v>1113955.5776</v>
      </c>
      <c r="E179" s="20">
        <v>1310409.1107999999</v>
      </c>
      <c r="F179" s="20">
        <v>0</v>
      </c>
      <c r="G179" s="20">
        <v>8141875.0284000002</v>
      </c>
      <c r="H179" s="19" t="s">
        <v>122</v>
      </c>
      <c r="I179" s="106">
        <v>59.228000000000009</v>
      </c>
      <c r="J179" s="106">
        <v>0</v>
      </c>
      <c r="K179" s="106">
        <v>16.850000000000001</v>
      </c>
      <c r="L179" s="106">
        <v>7.3</v>
      </c>
      <c r="M179" s="106">
        <v>6.9</v>
      </c>
      <c r="N179" s="106">
        <v>4.33</v>
      </c>
      <c r="O179" s="106">
        <v>7.31</v>
      </c>
      <c r="P179" s="106">
        <v>0</v>
      </c>
      <c r="Q179" s="106">
        <v>0</v>
      </c>
      <c r="R179" s="106">
        <v>1</v>
      </c>
      <c r="S179" s="106">
        <v>2</v>
      </c>
      <c r="T179" s="106">
        <v>5</v>
      </c>
      <c r="U179" s="106">
        <v>8.5380000000000003</v>
      </c>
      <c r="V179" s="106">
        <v>0</v>
      </c>
      <c r="W179" s="106">
        <v>0</v>
      </c>
      <c r="X179" s="106">
        <v>0</v>
      </c>
      <c r="Y179" s="106">
        <v>0</v>
      </c>
      <c r="Z179" s="106">
        <v>0</v>
      </c>
      <c r="AA179" s="106">
        <v>0</v>
      </c>
      <c r="AB179" s="106">
        <v>0</v>
      </c>
      <c r="AC179" s="106">
        <v>0</v>
      </c>
      <c r="AD179" s="19">
        <v>0</v>
      </c>
    </row>
    <row r="180" spans="1:30" x14ac:dyDescent="0.2">
      <c r="A180" s="19" t="s">
        <v>314</v>
      </c>
      <c r="B180" s="19" t="s">
        <v>316</v>
      </c>
      <c r="C180" s="20">
        <v>9795444.0800000001</v>
      </c>
      <c r="D180" s="20">
        <v>642652.39190000005</v>
      </c>
      <c r="E180" s="20">
        <v>1462583.0356999999</v>
      </c>
      <c r="F180" s="20">
        <v>0</v>
      </c>
      <c r="G180" s="20">
        <v>11900679.5076</v>
      </c>
      <c r="H180" s="19" t="s">
        <v>122</v>
      </c>
      <c r="I180" s="106">
        <v>101.536</v>
      </c>
      <c r="J180" s="106">
        <v>0</v>
      </c>
      <c r="K180" s="106">
        <v>23.77</v>
      </c>
      <c r="L180" s="106">
        <v>21.65</v>
      </c>
      <c r="M180" s="106">
        <v>13.45</v>
      </c>
      <c r="N180" s="106">
        <v>4.17</v>
      </c>
      <c r="O180" s="106">
        <v>10.38</v>
      </c>
      <c r="P180" s="106">
        <v>-0.36</v>
      </c>
      <c r="Q180" s="106">
        <v>0.72</v>
      </c>
      <c r="R180" s="106">
        <v>1</v>
      </c>
      <c r="S180" s="106">
        <v>4</v>
      </c>
      <c r="T180" s="106">
        <v>8</v>
      </c>
      <c r="U180" s="106">
        <v>14.756</v>
      </c>
      <c r="V180" s="106">
        <v>0</v>
      </c>
      <c r="W180" s="106">
        <v>0</v>
      </c>
      <c r="X180" s="106">
        <v>0</v>
      </c>
      <c r="Y180" s="106">
        <v>0</v>
      </c>
      <c r="Z180" s="106">
        <v>0</v>
      </c>
      <c r="AA180" s="106">
        <v>0</v>
      </c>
      <c r="AB180" s="106">
        <v>0</v>
      </c>
      <c r="AC180" s="106">
        <v>0</v>
      </c>
      <c r="AD180" s="19">
        <v>0</v>
      </c>
    </row>
    <row r="181" spans="1:30" x14ac:dyDescent="0.2">
      <c r="A181" s="19" t="s">
        <v>314</v>
      </c>
      <c r="B181" s="19" t="s">
        <v>317</v>
      </c>
      <c r="C181" s="20">
        <v>7442701</v>
      </c>
      <c r="D181" s="20">
        <v>351811.94140000001</v>
      </c>
      <c r="E181" s="20">
        <v>1037975.7624</v>
      </c>
      <c r="F181" s="20">
        <v>0</v>
      </c>
      <c r="G181" s="20">
        <v>8832488.7038000003</v>
      </c>
      <c r="H181" s="19" t="s">
        <v>122</v>
      </c>
      <c r="I181" s="106">
        <v>77.400000000000006</v>
      </c>
      <c r="J181" s="106">
        <v>0</v>
      </c>
      <c r="K181" s="106">
        <v>0</v>
      </c>
      <c r="L181" s="106">
        <v>42.4</v>
      </c>
      <c r="M181" s="106">
        <v>8.4499999999999993</v>
      </c>
      <c r="N181" s="106">
        <v>2.67</v>
      </c>
      <c r="O181" s="106">
        <v>2.31</v>
      </c>
      <c r="P181" s="106">
        <v>-1.17</v>
      </c>
      <c r="Q181" s="106">
        <v>2.34</v>
      </c>
      <c r="R181" s="106">
        <v>1</v>
      </c>
      <c r="S181" s="106">
        <v>2</v>
      </c>
      <c r="T181" s="106">
        <v>6</v>
      </c>
      <c r="U181" s="106">
        <v>11.4</v>
      </c>
      <c r="V181" s="106">
        <v>0</v>
      </c>
      <c r="W181" s="106">
        <v>0</v>
      </c>
      <c r="X181" s="106">
        <v>0</v>
      </c>
      <c r="Y181" s="106">
        <v>0</v>
      </c>
      <c r="Z181" s="106">
        <v>0</v>
      </c>
      <c r="AA181" s="106">
        <v>0</v>
      </c>
      <c r="AB181" s="106">
        <v>0</v>
      </c>
      <c r="AC181" s="106">
        <v>0</v>
      </c>
      <c r="AD181" s="19">
        <v>0</v>
      </c>
    </row>
    <row r="182" spans="1:30" x14ac:dyDescent="0.2">
      <c r="A182" s="19" t="s">
        <v>314</v>
      </c>
      <c r="B182" s="19" t="s">
        <v>318</v>
      </c>
      <c r="C182" s="20">
        <v>9133864.0600000005</v>
      </c>
      <c r="D182" s="20">
        <v>696095.31530000002</v>
      </c>
      <c r="E182" s="20">
        <v>1456449.9998000001</v>
      </c>
      <c r="F182" s="20">
        <v>0</v>
      </c>
      <c r="G182" s="20">
        <v>11286409.3751</v>
      </c>
      <c r="H182" s="19" t="s">
        <v>122</v>
      </c>
      <c r="I182" s="106">
        <v>95.052000000000007</v>
      </c>
      <c r="J182" s="106">
        <v>0</v>
      </c>
      <c r="K182" s="106">
        <v>0</v>
      </c>
      <c r="L182" s="106">
        <v>54.35</v>
      </c>
      <c r="M182" s="106">
        <v>8.33</v>
      </c>
      <c r="N182" s="106">
        <v>0.83</v>
      </c>
      <c r="O182" s="106">
        <v>0.38</v>
      </c>
      <c r="P182" s="106">
        <v>-5.33</v>
      </c>
      <c r="Q182" s="106">
        <v>10.65</v>
      </c>
      <c r="R182" s="106">
        <v>1</v>
      </c>
      <c r="S182" s="106">
        <v>3</v>
      </c>
      <c r="T182" s="106">
        <v>8</v>
      </c>
      <c r="U182" s="106">
        <v>13.841999999999999</v>
      </c>
      <c r="V182" s="106">
        <v>0</v>
      </c>
      <c r="W182" s="106">
        <v>0</v>
      </c>
      <c r="X182" s="106">
        <v>0</v>
      </c>
      <c r="Y182" s="106">
        <v>0</v>
      </c>
      <c r="Z182" s="106">
        <v>0</v>
      </c>
      <c r="AA182" s="106">
        <v>0</v>
      </c>
      <c r="AB182" s="106">
        <v>0</v>
      </c>
      <c r="AC182" s="106">
        <v>0</v>
      </c>
      <c r="AD182" s="19">
        <v>0</v>
      </c>
    </row>
    <row r="183" spans="1:30" x14ac:dyDescent="0.2">
      <c r="A183" s="19" t="s">
        <v>314</v>
      </c>
      <c r="B183" s="19" t="s">
        <v>319</v>
      </c>
      <c r="C183" s="20">
        <v>10434852.48</v>
      </c>
      <c r="D183" s="20">
        <v>1477629.9659</v>
      </c>
      <c r="E183" s="20">
        <v>2161359.7283999999</v>
      </c>
      <c r="F183" s="20">
        <v>0</v>
      </c>
      <c r="G183" s="20">
        <v>14073842.1742</v>
      </c>
      <c r="H183" s="19" t="s">
        <v>122</v>
      </c>
      <c r="I183" s="106">
        <v>108.416</v>
      </c>
      <c r="J183" s="106">
        <v>0</v>
      </c>
      <c r="K183" s="106">
        <v>0</v>
      </c>
      <c r="L183" s="106">
        <v>40.35</v>
      </c>
      <c r="M183" s="106">
        <v>19.64</v>
      </c>
      <c r="N183" s="106">
        <v>6.17</v>
      </c>
      <c r="O183" s="106">
        <v>8.08</v>
      </c>
      <c r="P183" s="106">
        <v>-4.4400000000000004</v>
      </c>
      <c r="Q183" s="106">
        <v>8.8800000000000008</v>
      </c>
      <c r="R183" s="106">
        <v>1</v>
      </c>
      <c r="S183" s="106">
        <v>4</v>
      </c>
      <c r="T183" s="106">
        <v>9</v>
      </c>
      <c r="U183" s="106">
        <v>15.736000000000002</v>
      </c>
      <c r="V183" s="106">
        <v>0</v>
      </c>
      <c r="W183" s="106">
        <v>0</v>
      </c>
      <c r="X183" s="106">
        <v>0</v>
      </c>
      <c r="Y183" s="106">
        <v>0</v>
      </c>
      <c r="Z183" s="106">
        <v>0</v>
      </c>
      <c r="AA183" s="106">
        <v>0</v>
      </c>
      <c r="AB183" s="106">
        <v>0</v>
      </c>
      <c r="AC183" s="106">
        <v>0</v>
      </c>
      <c r="AD183" s="19">
        <v>0</v>
      </c>
    </row>
    <row r="184" spans="1:30" x14ac:dyDescent="0.2">
      <c r="A184" s="19" t="s">
        <v>314</v>
      </c>
      <c r="B184" s="19" t="s">
        <v>320</v>
      </c>
      <c r="C184" s="20">
        <v>6075206.9400000004</v>
      </c>
      <c r="D184" s="20">
        <v>1129854.7235000001</v>
      </c>
      <c r="E184" s="20">
        <v>1468018.3981999999</v>
      </c>
      <c r="F184" s="20">
        <v>0</v>
      </c>
      <c r="G184" s="20">
        <v>8673080.0616999995</v>
      </c>
      <c r="H184" s="19" t="s">
        <v>122</v>
      </c>
      <c r="I184" s="106">
        <v>62.948</v>
      </c>
      <c r="J184" s="106">
        <v>0</v>
      </c>
      <c r="K184" s="106">
        <v>0</v>
      </c>
      <c r="L184" s="106">
        <v>18.3</v>
      </c>
      <c r="M184" s="106">
        <v>17.38</v>
      </c>
      <c r="N184" s="106">
        <v>3.67</v>
      </c>
      <c r="O184" s="106">
        <v>3.46</v>
      </c>
      <c r="P184" s="106">
        <v>-2.99</v>
      </c>
      <c r="Q184" s="106">
        <v>5.97</v>
      </c>
      <c r="R184" s="106">
        <v>1</v>
      </c>
      <c r="S184" s="106">
        <v>2</v>
      </c>
      <c r="T184" s="106">
        <v>5</v>
      </c>
      <c r="U184" s="106">
        <v>9.1579999999999995</v>
      </c>
      <c r="V184" s="106">
        <v>0</v>
      </c>
      <c r="W184" s="106">
        <v>0</v>
      </c>
      <c r="X184" s="106">
        <v>0</v>
      </c>
      <c r="Y184" s="106">
        <v>0</v>
      </c>
      <c r="Z184" s="106">
        <v>0</v>
      </c>
      <c r="AA184" s="106">
        <v>0</v>
      </c>
      <c r="AB184" s="106">
        <v>0</v>
      </c>
      <c r="AC184" s="106">
        <v>0</v>
      </c>
      <c r="AD184" s="19">
        <v>0</v>
      </c>
    </row>
    <row r="185" spans="1:30" x14ac:dyDescent="0.2">
      <c r="A185" s="19" t="s">
        <v>314</v>
      </c>
      <c r="B185" s="19" t="s">
        <v>321</v>
      </c>
      <c r="C185" s="20">
        <v>4155579.6</v>
      </c>
      <c r="D185" s="20">
        <v>847657.26659999997</v>
      </c>
      <c r="E185" s="20">
        <v>1042616.1017</v>
      </c>
      <c r="F185" s="20">
        <v>0</v>
      </c>
      <c r="G185" s="20">
        <v>6045852.9683999997</v>
      </c>
      <c r="H185" s="19" t="s">
        <v>122</v>
      </c>
      <c r="I185" s="106">
        <v>42.92</v>
      </c>
      <c r="J185" s="106">
        <v>0</v>
      </c>
      <c r="K185" s="106">
        <v>0</v>
      </c>
      <c r="L185" s="106">
        <v>15.45</v>
      </c>
      <c r="M185" s="106">
        <v>8.69</v>
      </c>
      <c r="N185" s="106">
        <v>3.67</v>
      </c>
      <c r="O185" s="106">
        <v>2.69</v>
      </c>
      <c r="P185" s="106">
        <v>-1.1000000000000001</v>
      </c>
      <c r="Q185" s="106">
        <v>2.2000000000000002</v>
      </c>
      <c r="R185" s="106">
        <v>1</v>
      </c>
      <c r="S185" s="106">
        <v>1</v>
      </c>
      <c r="T185" s="106">
        <v>3</v>
      </c>
      <c r="U185" s="106">
        <v>6.32</v>
      </c>
      <c r="V185" s="106">
        <v>0</v>
      </c>
      <c r="W185" s="106">
        <v>0</v>
      </c>
      <c r="X185" s="106">
        <v>0</v>
      </c>
      <c r="Y185" s="106">
        <v>0</v>
      </c>
      <c r="Z185" s="106">
        <v>0</v>
      </c>
      <c r="AA185" s="106">
        <v>0</v>
      </c>
      <c r="AB185" s="106">
        <v>0</v>
      </c>
      <c r="AC185" s="106">
        <v>0</v>
      </c>
      <c r="AD185" s="19">
        <v>0</v>
      </c>
    </row>
    <row r="186" spans="1:30" x14ac:dyDescent="0.2">
      <c r="A186" s="19" t="s">
        <v>314</v>
      </c>
      <c r="B186" s="19" t="s">
        <v>322</v>
      </c>
      <c r="C186" s="20">
        <v>6887694.3399999999</v>
      </c>
      <c r="D186" s="20">
        <v>566004.64029999997</v>
      </c>
      <c r="E186" s="20">
        <v>1149717.0804000001</v>
      </c>
      <c r="F186" s="20">
        <v>0</v>
      </c>
      <c r="G186" s="20">
        <v>8603416.0606999993</v>
      </c>
      <c r="H186" s="19" t="s">
        <v>122</v>
      </c>
      <c r="I186" s="106">
        <v>71.628</v>
      </c>
      <c r="J186" s="106">
        <v>0</v>
      </c>
      <c r="K186" s="106">
        <v>0</v>
      </c>
      <c r="L186" s="106">
        <v>32.4</v>
      </c>
      <c r="M186" s="106">
        <v>11.67</v>
      </c>
      <c r="N186" s="106">
        <v>3.5</v>
      </c>
      <c r="O186" s="106">
        <v>3.08</v>
      </c>
      <c r="P186" s="106">
        <v>-1.55</v>
      </c>
      <c r="Q186" s="106">
        <v>3.09</v>
      </c>
      <c r="R186" s="106">
        <v>1</v>
      </c>
      <c r="S186" s="106">
        <v>2</v>
      </c>
      <c r="T186" s="106">
        <v>6</v>
      </c>
      <c r="U186" s="106">
        <v>10.438000000000001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9">
        <v>0</v>
      </c>
    </row>
    <row r="187" spans="1:30" x14ac:dyDescent="0.2">
      <c r="A187" s="19" t="s">
        <v>314</v>
      </c>
      <c r="B187" s="19" t="s">
        <v>323</v>
      </c>
      <c r="C187" s="20">
        <v>804240.42</v>
      </c>
      <c r="D187" s="20">
        <v>51461.721400000002</v>
      </c>
      <c r="E187" s="20">
        <v>135997.6372</v>
      </c>
      <c r="F187" s="20">
        <v>0</v>
      </c>
      <c r="G187" s="20">
        <v>991699.77859999996</v>
      </c>
      <c r="H187" s="19" t="s">
        <v>122</v>
      </c>
      <c r="I187" s="106">
        <v>8.3640000000000008</v>
      </c>
      <c r="J187" s="106">
        <v>0</v>
      </c>
      <c r="K187" s="106">
        <v>0</v>
      </c>
      <c r="L187" s="106">
        <v>0.05</v>
      </c>
      <c r="M187" s="106">
        <v>0</v>
      </c>
      <c r="N187" s="106">
        <v>0</v>
      </c>
      <c r="O187" s="106">
        <v>6.92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1.3940000000000001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9">
        <v>0</v>
      </c>
    </row>
    <row r="188" spans="1:30" x14ac:dyDescent="0.2">
      <c r="A188" s="19" t="s">
        <v>314</v>
      </c>
      <c r="B188" s="19" t="s">
        <v>324</v>
      </c>
      <c r="C188" s="20">
        <v>4167118.2</v>
      </c>
      <c r="D188" s="20">
        <v>914720.95360000001</v>
      </c>
      <c r="E188" s="20">
        <v>1014644.2661</v>
      </c>
      <c r="F188" s="20">
        <v>0</v>
      </c>
      <c r="G188" s="20">
        <v>6096483.4197000004</v>
      </c>
      <c r="H188" s="19" t="s">
        <v>122</v>
      </c>
      <c r="I188" s="106">
        <v>43.040000000000006</v>
      </c>
      <c r="J188" s="106">
        <v>0</v>
      </c>
      <c r="K188" s="106">
        <v>15.56</v>
      </c>
      <c r="L188" s="106">
        <v>6</v>
      </c>
      <c r="M188" s="106">
        <v>5.12</v>
      </c>
      <c r="N188" s="106">
        <v>2.33</v>
      </c>
      <c r="O188" s="106">
        <v>2.69</v>
      </c>
      <c r="P188" s="106">
        <v>0</v>
      </c>
      <c r="Q188" s="106">
        <v>0</v>
      </c>
      <c r="R188" s="106">
        <v>1</v>
      </c>
      <c r="S188" s="106">
        <v>1</v>
      </c>
      <c r="T188" s="106">
        <v>3</v>
      </c>
      <c r="U188" s="106">
        <v>6.34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9">
        <v>0</v>
      </c>
    </row>
    <row r="189" spans="1:30" x14ac:dyDescent="0.2">
      <c r="A189" s="19" t="s">
        <v>314</v>
      </c>
      <c r="B189" s="19" t="s">
        <v>325</v>
      </c>
      <c r="C189" s="20">
        <v>5805203.7000000002</v>
      </c>
      <c r="D189" s="20">
        <v>336705.27630000003</v>
      </c>
      <c r="E189" s="20">
        <v>820042.06370000006</v>
      </c>
      <c r="F189" s="20">
        <v>0</v>
      </c>
      <c r="G189" s="20">
        <v>6961951.04</v>
      </c>
      <c r="H189" s="19" t="s">
        <v>122</v>
      </c>
      <c r="I189" s="106">
        <v>60.14</v>
      </c>
      <c r="J189" s="106">
        <v>0</v>
      </c>
      <c r="K189" s="106">
        <v>15.06</v>
      </c>
      <c r="L189" s="106">
        <v>6.6</v>
      </c>
      <c r="M189" s="106">
        <v>7.14</v>
      </c>
      <c r="N189" s="106">
        <v>3.5</v>
      </c>
      <c r="O189" s="106">
        <v>11.15</v>
      </c>
      <c r="P189" s="106">
        <v>0</v>
      </c>
      <c r="Q189" s="106">
        <v>0</v>
      </c>
      <c r="R189" s="106">
        <v>1</v>
      </c>
      <c r="S189" s="106">
        <v>2</v>
      </c>
      <c r="T189" s="106">
        <v>5</v>
      </c>
      <c r="U189" s="106">
        <v>8.6900000000000013</v>
      </c>
      <c r="V189" s="106">
        <v>0</v>
      </c>
      <c r="W189" s="106">
        <v>0</v>
      </c>
      <c r="X189" s="106">
        <v>0</v>
      </c>
      <c r="Y189" s="106">
        <v>0</v>
      </c>
      <c r="Z189" s="106">
        <v>0</v>
      </c>
      <c r="AA189" s="106">
        <v>0</v>
      </c>
      <c r="AB189" s="106">
        <v>0</v>
      </c>
      <c r="AC189" s="106">
        <v>0</v>
      </c>
      <c r="AD189" s="19">
        <v>0</v>
      </c>
    </row>
    <row r="190" spans="1:30" x14ac:dyDescent="0.2">
      <c r="A190" s="19" t="s">
        <v>314</v>
      </c>
      <c r="B190" s="19" t="s">
        <v>326</v>
      </c>
      <c r="C190" s="20">
        <v>2301892.2400000002</v>
      </c>
      <c r="D190" s="20">
        <v>583934.51820000005</v>
      </c>
      <c r="E190" s="20">
        <v>613417.16399999999</v>
      </c>
      <c r="F190" s="20">
        <v>0</v>
      </c>
      <c r="G190" s="20">
        <v>3499243.9221999999</v>
      </c>
      <c r="H190" s="19" t="s">
        <v>122</v>
      </c>
      <c r="I190" s="106">
        <v>23.808</v>
      </c>
      <c r="J190" s="106">
        <v>0</v>
      </c>
      <c r="K190" s="106">
        <v>8.09</v>
      </c>
      <c r="L190" s="106">
        <v>2.9</v>
      </c>
      <c r="M190" s="106">
        <v>3.1</v>
      </c>
      <c r="N190" s="106">
        <v>1.33</v>
      </c>
      <c r="O190" s="106">
        <v>1.92</v>
      </c>
      <c r="P190" s="106">
        <v>0</v>
      </c>
      <c r="Q190" s="106">
        <v>0</v>
      </c>
      <c r="R190" s="106">
        <v>1</v>
      </c>
      <c r="S190" s="106">
        <v>0</v>
      </c>
      <c r="T190" s="106">
        <v>2</v>
      </c>
      <c r="U190" s="106">
        <v>3.468</v>
      </c>
      <c r="V190" s="106">
        <v>0</v>
      </c>
      <c r="W190" s="106">
        <v>0</v>
      </c>
      <c r="X190" s="106">
        <v>0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9">
        <v>0</v>
      </c>
    </row>
    <row r="191" spans="1:30" x14ac:dyDescent="0.2">
      <c r="A191" s="19" t="s">
        <v>314</v>
      </c>
      <c r="B191" s="19" t="s">
        <v>327</v>
      </c>
      <c r="C191" s="20">
        <v>3734420.7</v>
      </c>
      <c r="D191" s="20">
        <v>895107.054</v>
      </c>
      <c r="E191" s="20">
        <v>961750.88780000003</v>
      </c>
      <c r="F191" s="20">
        <v>0</v>
      </c>
      <c r="G191" s="20">
        <v>5591278.6418000003</v>
      </c>
      <c r="H191" s="19" t="s">
        <v>122</v>
      </c>
      <c r="I191" s="106">
        <v>38.540000000000006</v>
      </c>
      <c r="J191" s="106">
        <v>0</v>
      </c>
      <c r="K191" s="106">
        <v>12.78</v>
      </c>
      <c r="L191" s="106">
        <v>4.05</v>
      </c>
      <c r="M191" s="106">
        <v>5.6</v>
      </c>
      <c r="N191" s="106">
        <v>1.67</v>
      </c>
      <c r="O191" s="106">
        <v>3.85</v>
      </c>
      <c r="P191" s="106">
        <v>0</v>
      </c>
      <c r="Q191" s="106">
        <v>0</v>
      </c>
      <c r="R191" s="106">
        <v>1</v>
      </c>
      <c r="S191" s="106">
        <v>1</v>
      </c>
      <c r="T191" s="106">
        <v>3</v>
      </c>
      <c r="U191" s="106">
        <v>5.59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9">
        <v>0</v>
      </c>
    </row>
    <row r="192" spans="1:30" x14ac:dyDescent="0.2">
      <c r="A192" s="19" t="s">
        <v>314</v>
      </c>
      <c r="B192" s="19" t="s">
        <v>328</v>
      </c>
      <c r="C192" s="20">
        <v>4931143.4800000004</v>
      </c>
      <c r="D192" s="20">
        <v>389875.7844</v>
      </c>
      <c r="E192" s="20">
        <v>736597.08070000005</v>
      </c>
      <c r="F192" s="20">
        <v>0</v>
      </c>
      <c r="G192" s="20">
        <v>6057616.3450999996</v>
      </c>
      <c r="H192" s="19" t="s">
        <v>122</v>
      </c>
      <c r="I192" s="106">
        <v>51.216000000000001</v>
      </c>
      <c r="J192" s="106">
        <v>0</v>
      </c>
      <c r="K192" s="106">
        <v>17.96</v>
      </c>
      <c r="L192" s="106">
        <v>8.5500000000000007</v>
      </c>
      <c r="M192" s="106">
        <v>3.69</v>
      </c>
      <c r="N192" s="106">
        <v>1.33</v>
      </c>
      <c r="O192" s="106">
        <v>6.15</v>
      </c>
      <c r="P192" s="106">
        <v>0</v>
      </c>
      <c r="Q192" s="106">
        <v>0</v>
      </c>
      <c r="R192" s="106">
        <v>1</v>
      </c>
      <c r="S192" s="106">
        <v>1</v>
      </c>
      <c r="T192" s="106">
        <v>4</v>
      </c>
      <c r="U192" s="106">
        <v>7.5360000000000005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9">
        <v>0</v>
      </c>
    </row>
    <row r="193" spans="1:30" x14ac:dyDescent="0.2">
      <c r="A193" s="19" t="s">
        <v>314</v>
      </c>
      <c r="B193" s="19" t="s">
        <v>329</v>
      </c>
      <c r="C193" s="20">
        <v>5907897.2400000002</v>
      </c>
      <c r="D193" s="20">
        <v>784778.86880000005</v>
      </c>
      <c r="E193" s="20">
        <v>1113438.0637999999</v>
      </c>
      <c r="F193" s="20">
        <v>0</v>
      </c>
      <c r="G193" s="20">
        <v>7806114.1727</v>
      </c>
      <c r="H193" s="19" t="s">
        <v>122</v>
      </c>
      <c r="I193" s="106">
        <v>61.207999999999998</v>
      </c>
      <c r="J193" s="106">
        <v>0</v>
      </c>
      <c r="K193" s="106">
        <v>16.79</v>
      </c>
      <c r="L193" s="106">
        <v>5.95</v>
      </c>
      <c r="M193" s="106">
        <v>5.24</v>
      </c>
      <c r="N193" s="106">
        <v>3.67</v>
      </c>
      <c r="O193" s="106">
        <v>12.69</v>
      </c>
      <c r="P193" s="106">
        <v>0</v>
      </c>
      <c r="Q193" s="106">
        <v>0</v>
      </c>
      <c r="R193" s="106">
        <v>1</v>
      </c>
      <c r="S193" s="106">
        <v>2</v>
      </c>
      <c r="T193" s="106">
        <v>5</v>
      </c>
      <c r="U193" s="106">
        <v>8.8680000000000003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9">
        <v>0</v>
      </c>
    </row>
    <row r="194" spans="1:30" x14ac:dyDescent="0.2">
      <c r="A194" s="19" t="s">
        <v>314</v>
      </c>
      <c r="B194" s="19" t="s">
        <v>330</v>
      </c>
      <c r="C194" s="20">
        <v>11416957.300000001</v>
      </c>
      <c r="D194" s="20">
        <v>1610940.094</v>
      </c>
      <c r="E194" s="20">
        <v>2402608.6984999999</v>
      </c>
      <c r="F194" s="20">
        <v>0</v>
      </c>
      <c r="G194" s="20">
        <v>15430506.092499999</v>
      </c>
      <c r="H194" s="19" t="s">
        <v>122</v>
      </c>
      <c r="I194" s="106">
        <v>118.86</v>
      </c>
      <c r="J194" s="106">
        <v>0</v>
      </c>
      <c r="K194" s="106">
        <v>0</v>
      </c>
      <c r="L194" s="106">
        <v>32.15</v>
      </c>
      <c r="M194" s="106">
        <v>14.76</v>
      </c>
      <c r="N194" s="106">
        <v>18</v>
      </c>
      <c r="O194" s="106">
        <v>16.149999999999999</v>
      </c>
      <c r="P194" s="106">
        <v>-5.5</v>
      </c>
      <c r="Q194" s="106">
        <v>10.99</v>
      </c>
      <c r="R194" s="106">
        <v>1</v>
      </c>
      <c r="S194" s="106">
        <v>4</v>
      </c>
      <c r="T194" s="106">
        <v>10</v>
      </c>
      <c r="U194" s="106">
        <v>17.309999999999999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9">
        <v>0</v>
      </c>
    </row>
    <row r="195" spans="1:30" x14ac:dyDescent="0.2">
      <c r="A195" s="19" t="s">
        <v>314</v>
      </c>
      <c r="B195" s="19" t="s">
        <v>331</v>
      </c>
      <c r="C195" s="20">
        <v>8024834.6399999997</v>
      </c>
      <c r="D195" s="20">
        <v>132715.76759999999</v>
      </c>
      <c r="E195" s="20">
        <v>950831.48789999995</v>
      </c>
      <c r="F195" s="20">
        <v>0</v>
      </c>
      <c r="G195" s="20">
        <v>9108381.8954000007</v>
      </c>
      <c r="H195" s="19" t="s">
        <v>122</v>
      </c>
      <c r="I195" s="106">
        <v>83.288000000000011</v>
      </c>
      <c r="J195" s="106">
        <v>0</v>
      </c>
      <c r="K195" s="106">
        <v>0</v>
      </c>
      <c r="L195" s="106">
        <v>0</v>
      </c>
      <c r="M195" s="106">
        <v>0</v>
      </c>
      <c r="N195" s="106">
        <v>1</v>
      </c>
      <c r="O195" s="106">
        <v>57.69</v>
      </c>
      <c r="P195" s="106">
        <v>-1.55</v>
      </c>
      <c r="Q195" s="106">
        <v>3.1</v>
      </c>
      <c r="R195" s="106">
        <v>1</v>
      </c>
      <c r="S195" s="106">
        <v>3</v>
      </c>
      <c r="T195" s="106">
        <v>7</v>
      </c>
      <c r="U195" s="106">
        <v>12.048000000000002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9">
        <v>0</v>
      </c>
    </row>
    <row r="196" spans="1:30" x14ac:dyDescent="0.2">
      <c r="A196" s="19" t="s">
        <v>314</v>
      </c>
      <c r="B196" s="19" t="s">
        <v>332</v>
      </c>
      <c r="C196" s="20">
        <v>4804218.8799999999</v>
      </c>
      <c r="D196" s="20">
        <v>570883.35019999999</v>
      </c>
      <c r="E196" s="20">
        <v>889679.60349999997</v>
      </c>
      <c r="F196" s="20">
        <v>0</v>
      </c>
      <c r="G196" s="20">
        <v>6264781.8337000003</v>
      </c>
      <c r="H196" s="19" t="s">
        <v>122</v>
      </c>
      <c r="I196" s="106">
        <v>49.896000000000001</v>
      </c>
      <c r="J196" s="106">
        <v>0</v>
      </c>
      <c r="K196" s="106">
        <v>9.57</v>
      </c>
      <c r="L196" s="106">
        <v>2.2999999999999998</v>
      </c>
      <c r="M196" s="106">
        <v>3.57</v>
      </c>
      <c r="N196" s="106">
        <v>3.83</v>
      </c>
      <c r="O196" s="106">
        <v>17.309999999999999</v>
      </c>
      <c r="P196" s="106">
        <v>0</v>
      </c>
      <c r="Q196" s="106">
        <v>0</v>
      </c>
      <c r="R196" s="106">
        <v>1</v>
      </c>
      <c r="S196" s="106">
        <v>1</v>
      </c>
      <c r="T196" s="106">
        <v>4</v>
      </c>
      <c r="U196" s="106">
        <v>7.3159999999999998</v>
      </c>
      <c r="V196" s="106">
        <v>0</v>
      </c>
      <c r="W196" s="106">
        <v>0</v>
      </c>
      <c r="X196" s="106">
        <v>0</v>
      </c>
      <c r="Y196" s="106">
        <v>0</v>
      </c>
      <c r="Z196" s="106">
        <v>0</v>
      </c>
      <c r="AA196" s="106">
        <v>0</v>
      </c>
      <c r="AB196" s="106">
        <v>0</v>
      </c>
      <c r="AC196" s="106">
        <v>0</v>
      </c>
      <c r="AD196" s="19">
        <v>0</v>
      </c>
    </row>
    <row r="197" spans="1:30" x14ac:dyDescent="0.2">
      <c r="A197" s="19" t="s">
        <v>314</v>
      </c>
      <c r="B197" s="19" t="s">
        <v>333</v>
      </c>
      <c r="C197" s="20">
        <v>5786741.9400000004</v>
      </c>
      <c r="D197" s="20">
        <v>163746.34359999999</v>
      </c>
      <c r="E197" s="20">
        <v>654352.74479999999</v>
      </c>
      <c r="F197" s="20">
        <v>0</v>
      </c>
      <c r="G197" s="20">
        <v>6604841.0284000002</v>
      </c>
      <c r="H197" s="19" t="s">
        <v>122</v>
      </c>
      <c r="I197" s="106">
        <v>59.948</v>
      </c>
      <c r="J197" s="106">
        <v>0</v>
      </c>
      <c r="K197" s="106">
        <v>21.48</v>
      </c>
      <c r="L197" s="106">
        <v>8.8000000000000007</v>
      </c>
      <c r="M197" s="106">
        <v>3.1</v>
      </c>
      <c r="N197" s="106">
        <v>1.83</v>
      </c>
      <c r="O197" s="106">
        <v>8.08</v>
      </c>
      <c r="P197" s="106">
        <v>0</v>
      </c>
      <c r="Q197" s="106">
        <v>0</v>
      </c>
      <c r="R197" s="106">
        <v>1</v>
      </c>
      <c r="S197" s="106">
        <v>2</v>
      </c>
      <c r="T197" s="106">
        <v>5</v>
      </c>
      <c r="U197" s="106">
        <v>8.6579999999999995</v>
      </c>
      <c r="V197" s="106">
        <v>0</v>
      </c>
      <c r="W197" s="106">
        <v>0</v>
      </c>
      <c r="X197" s="106">
        <v>0</v>
      </c>
      <c r="Y197" s="106">
        <v>0</v>
      </c>
      <c r="Z197" s="106">
        <v>0</v>
      </c>
      <c r="AA197" s="106">
        <v>0</v>
      </c>
      <c r="AB197" s="106">
        <v>0</v>
      </c>
      <c r="AC197" s="106">
        <v>0</v>
      </c>
      <c r="AD197" s="19">
        <v>0</v>
      </c>
    </row>
    <row r="198" spans="1:30" x14ac:dyDescent="0.2">
      <c r="A198" s="19" t="s">
        <v>314</v>
      </c>
      <c r="B198" s="19" t="s">
        <v>334</v>
      </c>
      <c r="C198" s="20">
        <v>11434265.199999999</v>
      </c>
      <c r="D198" s="20">
        <v>498148.47259999998</v>
      </c>
      <c r="E198" s="20">
        <v>1687250.0939</v>
      </c>
      <c r="F198" s="20">
        <v>0</v>
      </c>
      <c r="G198" s="20">
        <v>13619663.7665</v>
      </c>
      <c r="H198" s="19" t="s">
        <v>122</v>
      </c>
      <c r="I198" s="106">
        <v>119.04</v>
      </c>
      <c r="J198" s="106">
        <v>0</v>
      </c>
      <c r="K198" s="106">
        <v>0</v>
      </c>
      <c r="L198" s="106">
        <v>0</v>
      </c>
      <c r="M198" s="106">
        <v>15.24</v>
      </c>
      <c r="N198" s="106">
        <v>13</v>
      </c>
      <c r="O198" s="106">
        <v>58.46</v>
      </c>
      <c r="P198" s="106">
        <v>0</v>
      </c>
      <c r="Q198" s="106">
        <v>0</v>
      </c>
      <c r="R198" s="106">
        <v>1</v>
      </c>
      <c r="S198" s="106">
        <v>4</v>
      </c>
      <c r="T198" s="106">
        <v>10</v>
      </c>
      <c r="U198" s="106">
        <v>17.34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9">
        <v>0</v>
      </c>
    </row>
    <row r="199" spans="1:30" x14ac:dyDescent="0.2">
      <c r="A199" s="19" t="s">
        <v>314</v>
      </c>
      <c r="B199" s="19" t="s">
        <v>335</v>
      </c>
      <c r="C199" s="20">
        <v>6997311.04</v>
      </c>
      <c r="D199" s="20">
        <v>1238969.4225000001</v>
      </c>
      <c r="E199" s="20">
        <v>1545476.3700999999</v>
      </c>
      <c r="F199" s="20">
        <v>0</v>
      </c>
      <c r="G199" s="20">
        <v>9781756.8324999996</v>
      </c>
      <c r="H199" s="19" t="s">
        <v>122</v>
      </c>
      <c r="I199" s="106">
        <v>72.768000000000001</v>
      </c>
      <c r="J199" s="106">
        <v>0</v>
      </c>
      <c r="K199" s="106">
        <v>17.16</v>
      </c>
      <c r="L199" s="106">
        <v>6.5</v>
      </c>
      <c r="M199" s="106">
        <v>7.02</v>
      </c>
      <c r="N199" s="106">
        <v>4</v>
      </c>
      <c r="O199" s="106">
        <v>18.46</v>
      </c>
      <c r="P199" s="106">
        <v>0</v>
      </c>
      <c r="Q199" s="106">
        <v>0</v>
      </c>
      <c r="R199" s="106">
        <v>1</v>
      </c>
      <c r="S199" s="106">
        <v>2</v>
      </c>
      <c r="T199" s="106">
        <v>6</v>
      </c>
      <c r="U199" s="106">
        <v>10.628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9">
        <v>0</v>
      </c>
    </row>
    <row r="200" spans="1:30" x14ac:dyDescent="0.2">
      <c r="A200" s="19" t="s">
        <v>314</v>
      </c>
      <c r="B200" s="19" t="s">
        <v>336</v>
      </c>
      <c r="C200" s="20">
        <v>3887884.08</v>
      </c>
      <c r="D200" s="20">
        <v>587971.21730000002</v>
      </c>
      <c r="E200" s="20">
        <v>766986.43579999998</v>
      </c>
      <c r="F200" s="20">
        <v>0</v>
      </c>
      <c r="G200" s="20">
        <v>5242841.733</v>
      </c>
      <c r="H200" s="19" t="s">
        <v>122</v>
      </c>
      <c r="I200" s="106">
        <v>40.136000000000003</v>
      </c>
      <c r="J200" s="106">
        <v>0</v>
      </c>
      <c r="K200" s="106">
        <v>12.96</v>
      </c>
      <c r="L200" s="106">
        <v>6.2</v>
      </c>
      <c r="M200" s="106">
        <v>3.57</v>
      </c>
      <c r="N200" s="106">
        <v>1.17</v>
      </c>
      <c r="O200" s="106">
        <v>5.38</v>
      </c>
      <c r="P200" s="106">
        <v>0</v>
      </c>
      <c r="Q200" s="106">
        <v>0</v>
      </c>
      <c r="R200" s="106">
        <v>1</v>
      </c>
      <c r="S200" s="106">
        <v>1</v>
      </c>
      <c r="T200" s="106">
        <v>3</v>
      </c>
      <c r="U200" s="106">
        <v>5.8560000000000008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9">
        <v>0</v>
      </c>
    </row>
    <row r="201" spans="1:30" x14ac:dyDescent="0.2">
      <c r="A201" s="19" t="s">
        <v>314</v>
      </c>
      <c r="B201" s="19" t="s">
        <v>337</v>
      </c>
      <c r="C201" s="20">
        <v>4596524.08</v>
      </c>
      <c r="D201" s="20">
        <v>831510.47050000005</v>
      </c>
      <c r="E201" s="20">
        <v>1002897.3931</v>
      </c>
      <c r="F201" s="20">
        <v>0</v>
      </c>
      <c r="G201" s="20">
        <v>6430931.9435999999</v>
      </c>
      <c r="H201" s="19" t="s">
        <v>122</v>
      </c>
      <c r="I201" s="106">
        <v>47.736000000000004</v>
      </c>
      <c r="J201" s="106">
        <v>0</v>
      </c>
      <c r="K201" s="106">
        <v>16.54</v>
      </c>
      <c r="L201" s="106">
        <v>0</v>
      </c>
      <c r="M201" s="106">
        <v>3.45</v>
      </c>
      <c r="N201" s="106">
        <v>1.33</v>
      </c>
      <c r="O201" s="106">
        <v>13.46</v>
      </c>
      <c r="P201" s="106">
        <v>0</v>
      </c>
      <c r="Q201" s="106">
        <v>0</v>
      </c>
      <c r="R201" s="106">
        <v>1</v>
      </c>
      <c r="S201" s="106">
        <v>1</v>
      </c>
      <c r="T201" s="106">
        <v>4</v>
      </c>
      <c r="U201" s="106">
        <v>6.9560000000000004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9">
        <v>0</v>
      </c>
    </row>
    <row r="202" spans="1:30" x14ac:dyDescent="0.2">
      <c r="A202" s="19" t="s">
        <v>314</v>
      </c>
      <c r="B202" s="19" t="s">
        <v>338</v>
      </c>
      <c r="C202" s="20">
        <v>4383059.9800000004</v>
      </c>
      <c r="D202" s="20">
        <v>710780.97490000003</v>
      </c>
      <c r="E202" s="20">
        <v>994541.53729999997</v>
      </c>
      <c r="F202" s="20">
        <v>0</v>
      </c>
      <c r="G202" s="20">
        <v>6088382.4923</v>
      </c>
      <c r="H202" s="19" t="s">
        <v>122</v>
      </c>
      <c r="I202" s="106">
        <v>45.515999999999998</v>
      </c>
      <c r="J202" s="106">
        <v>0</v>
      </c>
      <c r="K202" s="106">
        <v>0</v>
      </c>
      <c r="L202" s="106">
        <v>12.7</v>
      </c>
      <c r="M202" s="106">
        <v>10.83</v>
      </c>
      <c r="N202" s="106">
        <v>5</v>
      </c>
      <c r="O202" s="106">
        <v>3.85</v>
      </c>
      <c r="P202" s="106">
        <v>-0.55000000000000004</v>
      </c>
      <c r="Q202" s="106">
        <v>1.1000000000000001</v>
      </c>
      <c r="R202" s="106">
        <v>1</v>
      </c>
      <c r="S202" s="106">
        <v>1</v>
      </c>
      <c r="T202" s="106">
        <v>4</v>
      </c>
      <c r="U202" s="106">
        <v>6.5860000000000003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9">
        <v>0</v>
      </c>
    </row>
    <row r="203" spans="1:30" x14ac:dyDescent="0.2">
      <c r="A203" s="19" t="s">
        <v>314</v>
      </c>
      <c r="B203" s="19" t="s">
        <v>339</v>
      </c>
      <c r="C203" s="20">
        <v>5182684.96</v>
      </c>
      <c r="D203" s="20">
        <v>1043622.9074</v>
      </c>
      <c r="E203" s="20">
        <v>1299960.2348</v>
      </c>
      <c r="F203" s="20">
        <v>0</v>
      </c>
      <c r="G203" s="20">
        <v>7526268.1021999996</v>
      </c>
      <c r="H203" s="19" t="s">
        <v>122</v>
      </c>
      <c r="I203" s="106">
        <v>53.832000000000001</v>
      </c>
      <c r="J203" s="106">
        <v>0</v>
      </c>
      <c r="K203" s="106">
        <v>0</v>
      </c>
      <c r="L203" s="106">
        <v>18.600000000000001</v>
      </c>
      <c r="M203" s="106">
        <v>9.17</v>
      </c>
      <c r="N203" s="106">
        <v>5.33</v>
      </c>
      <c r="O203" s="106">
        <v>5.77</v>
      </c>
      <c r="P203" s="106">
        <v>-0.99</v>
      </c>
      <c r="Q203" s="106">
        <v>1.98</v>
      </c>
      <c r="R203" s="106">
        <v>1</v>
      </c>
      <c r="S203" s="106">
        <v>1</v>
      </c>
      <c r="T203" s="106">
        <v>4</v>
      </c>
      <c r="U203" s="106">
        <v>7.9720000000000004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9">
        <v>0</v>
      </c>
    </row>
    <row r="204" spans="1:30" x14ac:dyDescent="0.2">
      <c r="A204" s="19" t="s">
        <v>314</v>
      </c>
      <c r="B204" s="19" t="s">
        <v>340</v>
      </c>
      <c r="C204" s="20">
        <v>4362290.5</v>
      </c>
      <c r="D204" s="20">
        <v>888098.55200000003</v>
      </c>
      <c r="E204" s="20">
        <v>1069565.7648</v>
      </c>
      <c r="F204" s="20">
        <v>0</v>
      </c>
      <c r="G204" s="20">
        <v>6319954.8168000001</v>
      </c>
      <c r="H204" s="19" t="s">
        <v>122</v>
      </c>
      <c r="I204" s="106">
        <v>45.3</v>
      </c>
      <c r="J204" s="106">
        <v>0</v>
      </c>
      <c r="K204" s="106">
        <v>4.51</v>
      </c>
      <c r="L204" s="106">
        <v>9.0500000000000007</v>
      </c>
      <c r="M204" s="106">
        <v>7.98</v>
      </c>
      <c r="N204" s="106">
        <v>4.67</v>
      </c>
      <c r="O204" s="106">
        <v>6.54</v>
      </c>
      <c r="P204" s="106">
        <v>0</v>
      </c>
      <c r="Q204" s="106">
        <v>0</v>
      </c>
      <c r="R204" s="106">
        <v>1</v>
      </c>
      <c r="S204" s="106">
        <v>1</v>
      </c>
      <c r="T204" s="106">
        <v>4</v>
      </c>
      <c r="U204" s="106">
        <v>6.5500000000000007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9">
        <v>0</v>
      </c>
    </row>
    <row r="205" spans="1:30" x14ac:dyDescent="0.2">
      <c r="A205" s="19" t="s">
        <v>314</v>
      </c>
      <c r="B205" s="19" t="s">
        <v>341</v>
      </c>
      <c r="C205" s="20">
        <v>5632124.7000000002</v>
      </c>
      <c r="D205" s="20">
        <v>301712.29639999999</v>
      </c>
      <c r="E205" s="20">
        <v>735915.63219999999</v>
      </c>
      <c r="F205" s="20">
        <v>0</v>
      </c>
      <c r="G205" s="20">
        <v>6669752.6286000004</v>
      </c>
      <c r="H205" s="19" t="s">
        <v>122</v>
      </c>
      <c r="I205" s="106">
        <v>58.34</v>
      </c>
      <c r="J205" s="106">
        <v>0</v>
      </c>
      <c r="K205" s="106">
        <v>22.1</v>
      </c>
      <c r="L205" s="106">
        <v>9.1</v>
      </c>
      <c r="M205" s="106">
        <v>5.71</v>
      </c>
      <c r="N205" s="106">
        <v>3.5</v>
      </c>
      <c r="O205" s="106">
        <v>1.54</v>
      </c>
      <c r="P205" s="106">
        <v>0</v>
      </c>
      <c r="Q205" s="106">
        <v>0</v>
      </c>
      <c r="R205" s="106">
        <v>1</v>
      </c>
      <c r="S205" s="106">
        <v>2</v>
      </c>
      <c r="T205" s="106">
        <v>5</v>
      </c>
      <c r="U205" s="106">
        <v>8.39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9">
        <v>0</v>
      </c>
    </row>
    <row r="206" spans="1:30" x14ac:dyDescent="0.2">
      <c r="A206" s="19" t="s">
        <v>314</v>
      </c>
      <c r="B206" s="19" t="s">
        <v>342</v>
      </c>
      <c r="C206" s="20">
        <v>163807512.31999999</v>
      </c>
      <c r="D206" s="20">
        <v>19361345.8682</v>
      </c>
      <c r="E206" s="20">
        <v>30485082.3774</v>
      </c>
      <c r="F206" s="20">
        <v>3620679.2503999998</v>
      </c>
      <c r="G206" s="20">
        <v>217274619.81600001</v>
      </c>
      <c r="H206" s="19" t="s">
        <v>144</v>
      </c>
      <c r="I206" s="106">
        <v>1700.144</v>
      </c>
      <c r="J206" s="106">
        <v>27.245626666666666</v>
      </c>
      <c r="K206" s="106">
        <v>231.17</v>
      </c>
      <c r="L206" s="106">
        <v>371.7</v>
      </c>
      <c r="M206" s="106">
        <v>208.81</v>
      </c>
      <c r="N206" s="106">
        <v>105.5</v>
      </c>
      <c r="O206" s="106">
        <v>295.77</v>
      </c>
      <c r="P206" s="106">
        <v>-25.51</v>
      </c>
      <c r="Q206" s="106">
        <v>51.02</v>
      </c>
      <c r="R206" s="106">
        <v>26</v>
      </c>
      <c r="S206" s="106">
        <v>50</v>
      </c>
      <c r="T206" s="106">
        <v>138</v>
      </c>
      <c r="U206" s="106">
        <v>247.68400000000003</v>
      </c>
      <c r="V206" s="106">
        <v>1</v>
      </c>
      <c r="W206" s="106">
        <v>1</v>
      </c>
      <c r="X206" s="106">
        <v>2</v>
      </c>
      <c r="Y206" s="106">
        <v>6</v>
      </c>
      <c r="Z206" s="106">
        <v>11.334293333333333</v>
      </c>
      <c r="AA206" s="106">
        <v>1</v>
      </c>
      <c r="AB206" s="106">
        <v>2</v>
      </c>
      <c r="AC206" s="106">
        <v>1.9113333333333333</v>
      </c>
      <c r="AD206" s="19">
        <v>1</v>
      </c>
    </row>
    <row r="207" spans="1:30" x14ac:dyDescent="0.2">
      <c r="A207" s="19" t="s">
        <v>343</v>
      </c>
      <c r="B207" s="19" t="s">
        <v>344</v>
      </c>
      <c r="C207" s="20">
        <v>3427493.94</v>
      </c>
      <c r="D207" s="20">
        <v>858801.52780000004</v>
      </c>
      <c r="E207" s="20">
        <v>847981.44949999999</v>
      </c>
      <c r="F207" s="20">
        <v>0</v>
      </c>
      <c r="G207" s="20">
        <v>5134276.9172</v>
      </c>
      <c r="H207" s="19" t="s">
        <v>122</v>
      </c>
      <c r="I207" s="106">
        <v>35.347999999999999</v>
      </c>
      <c r="J207" s="106">
        <v>0</v>
      </c>
      <c r="K207" s="106">
        <v>22.53</v>
      </c>
      <c r="L207" s="106">
        <v>0</v>
      </c>
      <c r="M207" s="106">
        <v>1.55</v>
      </c>
      <c r="N207" s="106">
        <v>0.83</v>
      </c>
      <c r="O207" s="106">
        <v>0.38</v>
      </c>
      <c r="P207" s="106">
        <v>0</v>
      </c>
      <c r="Q207" s="106">
        <v>0</v>
      </c>
      <c r="R207" s="106">
        <v>1</v>
      </c>
      <c r="S207" s="106">
        <v>1</v>
      </c>
      <c r="T207" s="106">
        <v>3</v>
      </c>
      <c r="U207" s="106">
        <v>5.0579999999999998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9">
        <v>0</v>
      </c>
    </row>
    <row r="208" spans="1:30" x14ac:dyDescent="0.2">
      <c r="A208" s="19" t="s">
        <v>343</v>
      </c>
      <c r="B208" s="19" t="s">
        <v>345</v>
      </c>
      <c r="C208" s="20">
        <v>3695189.46</v>
      </c>
      <c r="D208" s="20">
        <v>977302.17110000004</v>
      </c>
      <c r="E208" s="20">
        <v>1009144.0037</v>
      </c>
      <c r="F208" s="20">
        <v>0</v>
      </c>
      <c r="G208" s="20">
        <v>5681635.6348999999</v>
      </c>
      <c r="H208" s="19" t="s">
        <v>122</v>
      </c>
      <c r="I208" s="106">
        <v>38.131999999999998</v>
      </c>
      <c r="J208" s="106">
        <v>0</v>
      </c>
      <c r="K208" s="106">
        <v>8.09</v>
      </c>
      <c r="L208" s="106">
        <v>13.45</v>
      </c>
      <c r="M208" s="106">
        <v>4.5199999999999996</v>
      </c>
      <c r="N208" s="106">
        <v>1.17</v>
      </c>
      <c r="O208" s="106">
        <v>0.38</v>
      </c>
      <c r="P208" s="106">
        <v>0</v>
      </c>
      <c r="Q208" s="106">
        <v>0</v>
      </c>
      <c r="R208" s="106">
        <v>1</v>
      </c>
      <c r="S208" s="106">
        <v>1</v>
      </c>
      <c r="T208" s="106">
        <v>3</v>
      </c>
      <c r="U208" s="106">
        <v>5.5220000000000002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9">
        <v>0</v>
      </c>
    </row>
    <row r="209" spans="1:30" x14ac:dyDescent="0.2">
      <c r="A209" s="19" t="s">
        <v>343</v>
      </c>
      <c r="B209" s="19" t="s">
        <v>346</v>
      </c>
      <c r="C209" s="20">
        <v>3613265.4</v>
      </c>
      <c r="D209" s="20">
        <v>126202.5661</v>
      </c>
      <c r="E209" s="20">
        <v>488338.92670000001</v>
      </c>
      <c r="F209" s="20">
        <v>0</v>
      </c>
      <c r="G209" s="20">
        <v>4227806.8927999996</v>
      </c>
      <c r="H209" s="19" t="s">
        <v>122</v>
      </c>
      <c r="I209" s="106">
        <v>37.28</v>
      </c>
      <c r="J209" s="106">
        <v>0</v>
      </c>
      <c r="K209" s="106">
        <v>0</v>
      </c>
      <c r="L209" s="106">
        <v>0</v>
      </c>
      <c r="M209" s="106">
        <v>0.71</v>
      </c>
      <c r="N209" s="106">
        <v>3.5</v>
      </c>
      <c r="O209" s="106">
        <v>22.69</v>
      </c>
      <c r="P209" s="106">
        <v>0</v>
      </c>
      <c r="Q209" s="106">
        <v>0</v>
      </c>
      <c r="R209" s="106">
        <v>1</v>
      </c>
      <c r="S209" s="106">
        <v>1</v>
      </c>
      <c r="T209" s="106">
        <v>3</v>
      </c>
      <c r="U209" s="106">
        <v>5.38</v>
      </c>
      <c r="V209" s="106">
        <v>0</v>
      </c>
      <c r="W209" s="106">
        <v>0</v>
      </c>
      <c r="X209" s="106">
        <v>0</v>
      </c>
      <c r="Y209" s="106">
        <v>0</v>
      </c>
      <c r="Z209" s="106">
        <v>0</v>
      </c>
      <c r="AA209" s="106">
        <v>0</v>
      </c>
      <c r="AB209" s="106">
        <v>0</v>
      </c>
      <c r="AC209" s="106">
        <v>0</v>
      </c>
      <c r="AD209" s="19">
        <v>0</v>
      </c>
    </row>
    <row r="210" spans="1:30" x14ac:dyDescent="0.2">
      <c r="A210" s="19" t="s">
        <v>343</v>
      </c>
      <c r="B210" s="19" t="s">
        <v>347</v>
      </c>
      <c r="C210" s="20">
        <v>4767103.05</v>
      </c>
      <c r="D210" s="20">
        <v>967098.98089999997</v>
      </c>
      <c r="E210" s="20">
        <v>1148581.3330000001</v>
      </c>
      <c r="F210" s="20">
        <v>0</v>
      </c>
      <c r="G210" s="20">
        <v>6882783.3639000002</v>
      </c>
      <c r="H210" s="19" t="s">
        <v>122</v>
      </c>
      <c r="I210" s="106">
        <v>49.51</v>
      </c>
      <c r="J210" s="106">
        <v>0</v>
      </c>
      <c r="K210" s="106">
        <v>8.52</v>
      </c>
      <c r="L210" s="106">
        <v>12.95</v>
      </c>
      <c r="M210" s="106">
        <v>8.1</v>
      </c>
      <c r="N210" s="106">
        <v>4</v>
      </c>
      <c r="O210" s="106">
        <v>2.69</v>
      </c>
      <c r="P210" s="106">
        <v>0</v>
      </c>
      <c r="Q210" s="106">
        <v>0</v>
      </c>
      <c r="R210" s="106">
        <v>1</v>
      </c>
      <c r="S210" s="106">
        <v>1</v>
      </c>
      <c r="T210" s="106">
        <v>4</v>
      </c>
      <c r="U210" s="106">
        <v>7.25</v>
      </c>
      <c r="V210" s="106">
        <v>0</v>
      </c>
      <c r="W210" s="106">
        <v>0</v>
      </c>
      <c r="X210" s="106">
        <v>0</v>
      </c>
      <c r="Y210" s="106">
        <v>0</v>
      </c>
      <c r="Z210" s="106">
        <v>0</v>
      </c>
      <c r="AA210" s="106">
        <v>0</v>
      </c>
      <c r="AB210" s="106">
        <v>0</v>
      </c>
      <c r="AC210" s="106">
        <v>0</v>
      </c>
      <c r="AD210" s="19">
        <v>0</v>
      </c>
    </row>
    <row r="211" spans="1:30" x14ac:dyDescent="0.2">
      <c r="A211" s="19" t="s">
        <v>343</v>
      </c>
      <c r="B211" s="19" t="s">
        <v>348</v>
      </c>
      <c r="C211" s="20">
        <v>6842693.7999999998</v>
      </c>
      <c r="D211" s="20">
        <v>1463612.9619</v>
      </c>
      <c r="E211" s="20">
        <v>1715789.8033</v>
      </c>
      <c r="F211" s="20">
        <v>0</v>
      </c>
      <c r="G211" s="20">
        <v>10022096.565199999</v>
      </c>
      <c r="H211" s="19" t="s">
        <v>122</v>
      </c>
      <c r="I211" s="106">
        <v>71.16</v>
      </c>
      <c r="J211" s="106">
        <v>0</v>
      </c>
      <c r="K211" s="106">
        <v>0</v>
      </c>
      <c r="L211" s="106">
        <v>35.15</v>
      </c>
      <c r="M211" s="106">
        <v>8.33</v>
      </c>
      <c r="N211" s="106">
        <v>3.83</v>
      </c>
      <c r="O211" s="106">
        <v>2.31</v>
      </c>
      <c r="P211" s="106">
        <v>-2.1800000000000002</v>
      </c>
      <c r="Q211" s="106">
        <v>4.3600000000000003</v>
      </c>
      <c r="R211" s="106">
        <v>1</v>
      </c>
      <c r="S211" s="106">
        <v>2</v>
      </c>
      <c r="T211" s="106">
        <v>6</v>
      </c>
      <c r="U211" s="106">
        <v>10.36</v>
      </c>
      <c r="V211" s="106">
        <v>0</v>
      </c>
      <c r="W211" s="106">
        <v>0</v>
      </c>
      <c r="X211" s="106">
        <v>0</v>
      </c>
      <c r="Y211" s="106">
        <v>0</v>
      </c>
      <c r="Z211" s="106">
        <v>0</v>
      </c>
      <c r="AA211" s="106">
        <v>0</v>
      </c>
      <c r="AB211" s="106">
        <v>0</v>
      </c>
      <c r="AC211" s="106">
        <v>0</v>
      </c>
      <c r="AD211" s="19">
        <v>0</v>
      </c>
    </row>
    <row r="212" spans="1:30" x14ac:dyDescent="0.2">
      <c r="A212" s="19" t="s">
        <v>343</v>
      </c>
      <c r="B212" s="19" t="s">
        <v>349</v>
      </c>
      <c r="C212" s="20">
        <v>8584456.7400000002</v>
      </c>
      <c r="D212" s="20">
        <v>1637735.8507999999</v>
      </c>
      <c r="E212" s="20">
        <v>2057536.1921999999</v>
      </c>
      <c r="F212" s="20">
        <v>0</v>
      </c>
      <c r="G212" s="20">
        <v>12279728.783</v>
      </c>
      <c r="H212" s="19" t="s">
        <v>122</v>
      </c>
      <c r="I212" s="106">
        <v>89.108000000000004</v>
      </c>
      <c r="J212" s="106">
        <v>0</v>
      </c>
      <c r="K212" s="106">
        <v>0</v>
      </c>
      <c r="L212" s="106">
        <v>38</v>
      </c>
      <c r="M212" s="106">
        <v>13.45</v>
      </c>
      <c r="N212" s="106">
        <v>6.17</v>
      </c>
      <c r="O212" s="106">
        <v>2.69</v>
      </c>
      <c r="P212" s="106">
        <v>-4.79</v>
      </c>
      <c r="Q212" s="106">
        <v>9.57</v>
      </c>
      <c r="R212" s="106">
        <v>1</v>
      </c>
      <c r="S212" s="106">
        <v>3</v>
      </c>
      <c r="T212" s="106">
        <v>7</v>
      </c>
      <c r="U212" s="106">
        <v>13.018000000000001</v>
      </c>
      <c r="V212" s="106">
        <v>0</v>
      </c>
      <c r="W212" s="106">
        <v>0</v>
      </c>
      <c r="X212" s="106">
        <v>0</v>
      </c>
      <c r="Y212" s="106">
        <v>0</v>
      </c>
      <c r="Z212" s="106">
        <v>0</v>
      </c>
      <c r="AA212" s="106">
        <v>0</v>
      </c>
      <c r="AB212" s="106">
        <v>0</v>
      </c>
      <c r="AC212" s="106">
        <v>0</v>
      </c>
      <c r="AD212" s="19">
        <v>0</v>
      </c>
    </row>
    <row r="213" spans="1:30" x14ac:dyDescent="0.2">
      <c r="A213" s="19" t="s">
        <v>343</v>
      </c>
      <c r="B213" s="19" t="s">
        <v>350</v>
      </c>
      <c r="C213" s="20">
        <v>2484202.12</v>
      </c>
      <c r="D213" s="20">
        <v>87519.597399999999</v>
      </c>
      <c r="E213" s="20">
        <v>339685.8186</v>
      </c>
      <c r="F213" s="20">
        <v>0</v>
      </c>
      <c r="G213" s="20">
        <v>2911407.5361000001</v>
      </c>
      <c r="H213" s="19" t="s">
        <v>122</v>
      </c>
      <c r="I213" s="106">
        <v>25.704000000000001</v>
      </c>
      <c r="J213" s="106">
        <v>0</v>
      </c>
      <c r="K213" s="106">
        <v>0</v>
      </c>
      <c r="L213" s="106">
        <v>0.05</v>
      </c>
      <c r="M213" s="106">
        <v>0.12</v>
      </c>
      <c r="N213" s="106">
        <v>1.83</v>
      </c>
      <c r="O213" s="106">
        <v>16.920000000000002</v>
      </c>
      <c r="P213" s="106">
        <v>0</v>
      </c>
      <c r="Q213" s="106">
        <v>0</v>
      </c>
      <c r="R213" s="106">
        <v>1</v>
      </c>
      <c r="S213" s="106">
        <v>0</v>
      </c>
      <c r="T213" s="106">
        <v>2</v>
      </c>
      <c r="U213" s="106">
        <v>3.7840000000000007</v>
      </c>
      <c r="V213" s="106">
        <v>0</v>
      </c>
      <c r="W213" s="106">
        <v>0</v>
      </c>
      <c r="X213" s="106">
        <v>0</v>
      </c>
      <c r="Y213" s="106">
        <v>0</v>
      </c>
      <c r="Z213" s="106">
        <v>0</v>
      </c>
      <c r="AA213" s="106">
        <v>0</v>
      </c>
      <c r="AB213" s="106">
        <v>0</v>
      </c>
      <c r="AC213" s="106">
        <v>0</v>
      </c>
      <c r="AD213" s="19">
        <v>0</v>
      </c>
    </row>
    <row r="214" spans="1:30" x14ac:dyDescent="0.2">
      <c r="A214" s="19" t="s">
        <v>343</v>
      </c>
      <c r="B214" s="19" t="s">
        <v>351</v>
      </c>
      <c r="C214" s="20">
        <v>4018270.26</v>
      </c>
      <c r="D214" s="20">
        <v>1030299.3241</v>
      </c>
      <c r="E214" s="20">
        <v>1024233.219</v>
      </c>
      <c r="F214" s="20">
        <v>0</v>
      </c>
      <c r="G214" s="20">
        <v>6072802.8031000001</v>
      </c>
      <c r="H214" s="19" t="s">
        <v>122</v>
      </c>
      <c r="I214" s="106">
        <v>41.492000000000004</v>
      </c>
      <c r="J214" s="106">
        <v>0</v>
      </c>
      <c r="K214" s="106">
        <v>25.68</v>
      </c>
      <c r="L214" s="106">
        <v>0</v>
      </c>
      <c r="M214" s="106">
        <v>2.14</v>
      </c>
      <c r="N214" s="106">
        <v>0.67</v>
      </c>
      <c r="O214" s="106">
        <v>1.92</v>
      </c>
      <c r="P214" s="106">
        <v>0</v>
      </c>
      <c r="Q214" s="106">
        <v>0</v>
      </c>
      <c r="R214" s="106">
        <v>1</v>
      </c>
      <c r="S214" s="106">
        <v>1</v>
      </c>
      <c r="T214" s="106">
        <v>3</v>
      </c>
      <c r="U214" s="106">
        <v>6.0820000000000007</v>
      </c>
      <c r="V214" s="106">
        <v>0</v>
      </c>
      <c r="W214" s="106">
        <v>0</v>
      </c>
      <c r="X214" s="106">
        <v>0</v>
      </c>
      <c r="Y214" s="106">
        <v>0</v>
      </c>
      <c r="Z214" s="106">
        <v>0</v>
      </c>
      <c r="AA214" s="106">
        <v>0</v>
      </c>
      <c r="AB214" s="106">
        <v>0</v>
      </c>
      <c r="AC214" s="106">
        <v>0</v>
      </c>
      <c r="AD214" s="19">
        <v>0</v>
      </c>
    </row>
    <row r="215" spans="1:30" x14ac:dyDescent="0.2">
      <c r="A215" s="19" t="s">
        <v>343</v>
      </c>
      <c r="B215" s="19" t="s">
        <v>352</v>
      </c>
      <c r="C215" s="20">
        <v>37434597.869999997</v>
      </c>
      <c r="D215" s="20">
        <v>7148572.9800000004</v>
      </c>
      <c r="E215" s="20">
        <v>8631290.7460999992</v>
      </c>
      <c r="F215" s="20">
        <v>1544939.1551000001</v>
      </c>
      <c r="G215" s="20">
        <v>54759400.751199998</v>
      </c>
      <c r="H215" s="19" t="s">
        <v>144</v>
      </c>
      <c r="I215" s="106">
        <v>387.75400000000002</v>
      </c>
      <c r="J215" s="106">
        <v>11.359160000000001</v>
      </c>
      <c r="K215" s="106">
        <v>64.81</v>
      </c>
      <c r="L215" s="106">
        <v>99.6</v>
      </c>
      <c r="M215" s="106">
        <v>38.93</v>
      </c>
      <c r="N215" s="106">
        <v>22</v>
      </c>
      <c r="O215" s="106">
        <v>50</v>
      </c>
      <c r="P215" s="106">
        <v>-6.97</v>
      </c>
      <c r="Q215" s="106">
        <v>13.93</v>
      </c>
      <c r="R215" s="106">
        <v>8</v>
      </c>
      <c r="S215" s="106">
        <v>10</v>
      </c>
      <c r="T215" s="106">
        <v>31</v>
      </c>
      <c r="U215" s="106">
        <v>56.454000000000001</v>
      </c>
      <c r="V215" s="106">
        <v>1</v>
      </c>
      <c r="W215" s="106">
        <v>1</v>
      </c>
      <c r="X215" s="106">
        <v>1.29</v>
      </c>
      <c r="Y215" s="106">
        <v>2</v>
      </c>
      <c r="Z215" s="106">
        <v>2.5850266666666668</v>
      </c>
      <c r="AA215" s="106">
        <v>1</v>
      </c>
      <c r="AB215" s="106">
        <v>1</v>
      </c>
      <c r="AC215" s="106">
        <v>0.48413333333333336</v>
      </c>
      <c r="AD215" s="19">
        <v>1</v>
      </c>
    </row>
    <row r="216" spans="1:30" x14ac:dyDescent="0.2">
      <c r="A216" s="19" t="s">
        <v>353</v>
      </c>
      <c r="B216" s="19" t="s">
        <v>354</v>
      </c>
      <c r="C216" s="20">
        <v>4793834.1399999997</v>
      </c>
      <c r="D216" s="20">
        <v>313005.14760000003</v>
      </c>
      <c r="E216" s="20">
        <v>658652.36</v>
      </c>
      <c r="F216" s="20">
        <v>0</v>
      </c>
      <c r="G216" s="20">
        <v>5765491.6475999998</v>
      </c>
      <c r="H216" s="19" t="s">
        <v>122</v>
      </c>
      <c r="I216" s="106">
        <v>49.787999999999997</v>
      </c>
      <c r="J216" s="106">
        <v>0</v>
      </c>
      <c r="K216" s="106">
        <v>21.48</v>
      </c>
      <c r="L216" s="106">
        <v>4.5</v>
      </c>
      <c r="M216" s="106">
        <v>2.74</v>
      </c>
      <c r="N216" s="106">
        <v>2</v>
      </c>
      <c r="O216" s="106">
        <v>5.77</v>
      </c>
      <c r="P216" s="106">
        <v>0</v>
      </c>
      <c r="Q216" s="106">
        <v>0</v>
      </c>
      <c r="R216" s="106">
        <v>1</v>
      </c>
      <c r="S216" s="106">
        <v>1</v>
      </c>
      <c r="T216" s="106">
        <v>4</v>
      </c>
      <c r="U216" s="106">
        <v>7.2980000000000009</v>
      </c>
      <c r="V216" s="106">
        <v>0</v>
      </c>
      <c r="W216" s="106">
        <v>0</v>
      </c>
      <c r="X216" s="106">
        <v>0</v>
      </c>
      <c r="Y216" s="106">
        <v>0</v>
      </c>
      <c r="Z216" s="106">
        <v>0</v>
      </c>
      <c r="AA216" s="106">
        <v>0</v>
      </c>
      <c r="AB216" s="106">
        <v>0</v>
      </c>
      <c r="AC216" s="106">
        <v>0</v>
      </c>
      <c r="AD216" s="19">
        <v>0</v>
      </c>
    </row>
    <row r="217" spans="1:30" x14ac:dyDescent="0.2">
      <c r="A217" s="19" t="s">
        <v>353</v>
      </c>
      <c r="B217" s="19" t="s">
        <v>355</v>
      </c>
      <c r="C217" s="20">
        <v>4251349.9800000004</v>
      </c>
      <c r="D217" s="20">
        <v>314144.33880000003</v>
      </c>
      <c r="E217" s="20">
        <v>680815.65899999999</v>
      </c>
      <c r="F217" s="20">
        <v>0</v>
      </c>
      <c r="G217" s="20">
        <v>5246309.9776999997</v>
      </c>
      <c r="H217" s="19" t="s">
        <v>122</v>
      </c>
      <c r="I217" s="106">
        <v>43.915999999999997</v>
      </c>
      <c r="J217" s="106">
        <v>0</v>
      </c>
      <c r="K217" s="106">
        <v>0</v>
      </c>
      <c r="L217" s="106">
        <v>20.55</v>
      </c>
      <c r="M217" s="106">
        <v>6.67</v>
      </c>
      <c r="N217" s="106">
        <v>3.67</v>
      </c>
      <c r="O217" s="106">
        <v>1.54</v>
      </c>
      <c r="P217" s="106">
        <v>0</v>
      </c>
      <c r="Q217" s="106">
        <v>0</v>
      </c>
      <c r="R217" s="106">
        <v>1</v>
      </c>
      <c r="S217" s="106">
        <v>1</v>
      </c>
      <c r="T217" s="106">
        <v>3</v>
      </c>
      <c r="U217" s="106">
        <v>6.4860000000000007</v>
      </c>
      <c r="V217" s="106">
        <v>0</v>
      </c>
      <c r="W217" s="106">
        <v>0</v>
      </c>
      <c r="X217" s="106">
        <v>0</v>
      </c>
      <c r="Y217" s="106">
        <v>0</v>
      </c>
      <c r="Z217" s="106">
        <v>0</v>
      </c>
      <c r="AA217" s="106">
        <v>0</v>
      </c>
      <c r="AB217" s="106">
        <v>0</v>
      </c>
      <c r="AC217" s="106">
        <v>0</v>
      </c>
      <c r="AD217" s="19">
        <v>0</v>
      </c>
    </row>
    <row r="218" spans="1:30" x14ac:dyDescent="0.2">
      <c r="A218" s="19" t="s">
        <v>353</v>
      </c>
      <c r="B218" s="19" t="s">
        <v>356</v>
      </c>
      <c r="C218" s="20">
        <v>6886540.4800000004</v>
      </c>
      <c r="D218" s="20">
        <v>661597.63580000005</v>
      </c>
      <c r="E218" s="20">
        <v>1198943.6172</v>
      </c>
      <c r="F218" s="20">
        <v>0</v>
      </c>
      <c r="G218" s="20">
        <v>8747081.7329999991</v>
      </c>
      <c r="H218" s="19" t="s">
        <v>122</v>
      </c>
      <c r="I218" s="106">
        <v>71.616</v>
      </c>
      <c r="J218" s="106">
        <v>0</v>
      </c>
      <c r="K218" s="106">
        <v>0</v>
      </c>
      <c r="L218" s="106">
        <v>24.45</v>
      </c>
      <c r="M218" s="106">
        <v>5.6</v>
      </c>
      <c r="N218" s="106">
        <v>8.67</v>
      </c>
      <c r="O218" s="106">
        <v>13.46</v>
      </c>
      <c r="P218" s="106">
        <v>0</v>
      </c>
      <c r="Q218" s="106">
        <v>0</v>
      </c>
      <c r="R218" s="106">
        <v>1</v>
      </c>
      <c r="S218" s="106">
        <v>2</v>
      </c>
      <c r="T218" s="106">
        <v>6</v>
      </c>
      <c r="U218" s="106">
        <v>10.436</v>
      </c>
      <c r="V218" s="106">
        <v>0</v>
      </c>
      <c r="W218" s="106">
        <v>0</v>
      </c>
      <c r="X218" s="106">
        <v>0</v>
      </c>
      <c r="Y218" s="106">
        <v>0</v>
      </c>
      <c r="Z218" s="106">
        <v>0</v>
      </c>
      <c r="AA218" s="106">
        <v>0</v>
      </c>
      <c r="AB218" s="106">
        <v>0</v>
      </c>
      <c r="AC218" s="106">
        <v>0</v>
      </c>
      <c r="AD218" s="19">
        <v>0</v>
      </c>
    </row>
    <row r="219" spans="1:30" x14ac:dyDescent="0.2">
      <c r="A219" s="19" t="s">
        <v>353</v>
      </c>
      <c r="B219" s="19" t="s">
        <v>357</v>
      </c>
      <c r="C219" s="20">
        <v>9232903.7100000009</v>
      </c>
      <c r="D219" s="20">
        <v>643271.51749999996</v>
      </c>
      <c r="E219" s="20">
        <v>1405422.4922</v>
      </c>
      <c r="F219" s="20">
        <v>0</v>
      </c>
      <c r="G219" s="20">
        <v>11281597.719699999</v>
      </c>
      <c r="H219" s="19" t="s">
        <v>122</v>
      </c>
      <c r="I219" s="106">
        <v>96.081999999999994</v>
      </c>
      <c r="J219" s="106">
        <v>0</v>
      </c>
      <c r="K219" s="106">
        <v>22.65</v>
      </c>
      <c r="L219" s="106">
        <v>0</v>
      </c>
      <c r="M219" s="106">
        <v>5.36</v>
      </c>
      <c r="N219" s="106">
        <v>12.83</v>
      </c>
      <c r="O219" s="106">
        <v>29.23</v>
      </c>
      <c r="P219" s="106">
        <v>0</v>
      </c>
      <c r="Q219" s="106">
        <v>0</v>
      </c>
      <c r="R219" s="106">
        <v>1</v>
      </c>
      <c r="S219" s="106">
        <v>3</v>
      </c>
      <c r="T219" s="106">
        <v>8</v>
      </c>
      <c r="U219" s="106">
        <v>14.012</v>
      </c>
      <c r="V219" s="106">
        <v>0</v>
      </c>
      <c r="W219" s="106">
        <v>0</v>
      </c>
      <c r="X219" s="106">
        <v>0</v>
      </c>
      <c r="Y219" s="106">
        <v>0</v>
      </c>
      <c r="Z219" s="106">
        <v>0</v>
      </c>
      <c r="AA219" s="106">
        <v>0</v>
      </c>
      <c r="AB219" s="106">
        <v>0</v>
      </c>
      <c r="AC219" s="106">
        <v>0</v>
      </c>
      <c r="AD219" s="19">
        <v>0</v>
      </c>
    </row>
    <row r="220" spans="1:30" x14ac:dyDescent="0.2">
      <c r="A220" s="19" t="s">
        <v>353</v>
      </c>
      <c r="B220" s="19" t="s">
        <v>358</v>
      </c>
      <c r="C220" s="20">
        <v>4880373.6399999997</v>
      </c>
      <c r="D220" s="20">
        <v>439034.35849999997</v>
      </c>
      <c r="E220" s="20">
        <v>772113.52399999998</v>
      </c>
      <c r="F220" s="20">
        <v>0</v>
      </c>
      <c r="G220" s="20">
        <v>6091521.5225</v>
      </c>
      <c r="H220" s="19" t="s">
        <v>122</v>
      </c>
      <c r="I220" s="106">
        <v>50.688000000000002</v>
      </c>
      <c r="J220" s="106">
        <v>0</v>
      </c>
      <c r="K220" s="106">
        <v>17.899999999999999</v>
      </c>
      <c r="L220" s="106">
        <v>0</v>
      </c>
      <c r="M220" s="106">
        <v>1.67</v>
      </c>
      <c r="N220" s="106">
        <v>2.67</v>
      </c>
      <c r="O220" s="106">
        <v>15</v>
      </c>
      <c r="P220" s="106">
        <v>0</v>
      </c>
      <c r="Q220" s="106">
        <v>0</v>
      </c>
      <c r="R220" s="106">
        <v>1</v>
      </c>
      <c r="S220" s="106">
        <v>1</v>
      </c>
      <c r="T220" s="106">
        <v>4</v>
      </c>
      <c r="U220" s="106">
        <v>7.4480000000000004</v>
      </c>
      <c r="V220" s="106">
        <v>0</v>
      </c>
      <c r="W220" s="106">
        <v>0</v>
      </c>
      <c r="X220" s="106">
        <v>0</v>
      </c>
      <c r="Y220" s="106">
        <v>0</v>
      </c>
      <c r="Z220" s="106">
        <v>0</v>
      </c>
      <c r="AA220" s="106">
        <v>0</v>
      </c>
      <c r="AB220" s="106">
        <v>0</v>
      </c>
      <c r="AC220" s="106">
        <v>0</v>
      </c>
      <c r="AD220" s="19">
        <v>0</v>
      </c>
    </row>
    <row r="221" spans="1:30" x14ac:dyDescent="0.2">
      <c r="A221" s="19" t="s">
        <v>353</v>
      </c>
      <c r="B221" s="19" t="s">
        <v>359</v>
      </c>
      <c r="C221" s="20">
        <v>17944558.359999999</v>
      </c>
      <c r="D221" s="20">
        <v>1089883.9735999999</v>
      </c>
      <c r="E221" s="20">
        <v>2704814.8533000001</v>
      </c>
      <c r="F221" s="20">
        <v>0</v>
      </c>
      <c r="G221" s="20">
        <v>21739257.186900001</v>
      </c>
      <c r="H221" s="19" t="s">
        <v>122</v>
      </c>
      <c r="I221" s="106">
        <v>186.31199999999998</v>
      </c>
      <c r="J221" s="106">
        <v>0</v>
      </c>
      <c r="K221" s="106">
        <v>0</v>
      </c>
      <c r="L221" s="106">
        <v>71.349999999999994</v>
      </c>
      <c r="M221" s="106">
        <v>25.36</v>
      </c>
      <c r="N221" s="106">
        <v>8.5</v>
      </c>
      <c r="O221" s="106">
        <v>16.149999999999999</v>
      </c>
      <c r="P221" s="106">
        <v>-13.9</v>
      </c>
      <c r="Q221" s="106">
        <v>27.8</v>
      </c>
      <c r="R221" s="106">
        <v>1</v>
      </c>
      <c r="S221" s="106">
        <v>8</v>
      </c>
      <c r="T221" s="106">
        <v>15</v>
      </c>
      <c r="U221" s="106">
        <v>27.052</v>
      </c>
      <c r="V221" s="106">
        <v>0</v>
      </c>
      <c r="W221" s="106">
        <v>0</v>
      </c>
      <c r="X221" s="106">
        <v>0</v>
      </c>
      <c r="Y221" s="106">
        <v>0</v>
      </c>
      <c r="Z221" s="106">
        <v>0</v>
      </c>
      <c r="AA221" s="106">
        <v>0</v>
      </c>
      <c r="AB221" s="106">
        <v>0</v>
      </c>
      <c r="AC221" s="106">
        <v>0</v>
      </c>
      <c r="AD221" s="19">
        <v>0</v>
      </c>
    </row>
    <row r="222" spans="1:30" x14ac:dyDescent="0.2">
      <c r="A222" s="19" t="s">
        <v>353</v>
      </c>
      <c r="B222" s="19" t="s">
        <v>360</v>
      </c>
      <c r="C222" s="20">
        <v>10041386.220000001</v>
      </c>
      <c r="D222" s="20">
        <v>702905.69709999999</v>
      </c>
      <c r="E222" s="20">
        <v>1583280.5330999999</v>
      </c>
      <c r="F222" s="20">
        <v>0</v>
      </c>
      <c r="G222" s="20">
        <v>12327572.450200001</v>
      </c>
      <c r="H222" s="19" t="s">
        <v>122</v>
      </c>
      <c r="I222" s="106">
        <v>104.32399999999998</v>
      </c>
      <c r="J222" s="106">
        <v>0</v>
      </c>
      <c r="K222" s="106">
        <v>0</v>
      </c>
      <c r="L222" s="106">
        <v>38.85</v>
      </c>
      <c r="M222" s="106">
        <v>10.119999999999999</v>
      </c>
      <c r="N222" s="106">
        <v>11</v>
      </c>
      <c r="O222" s="106">
        <v>10.38</v>
      </c>
      <c r="P222" s="106">
        <v>-4.93</v>
      </c>
      <c r="Q222" s="106">
        <v>9.85</v>
      </c>
      <c r="R222" s="106">
        <v>1</v>
      </c>
      <c r="S222" s="106">
        <v>4</v>
      </c>
      <c r="T222" s="106">
        <v>9</v>
      </c>
      <c r="U222" s="106">
        <v>15.054</v>
      </c>
      <c r="V222" s="106">
        <v>0</v>
      </c>
      <c r="W222" s="106">
        <v>0</v>
      </c>
      <c r="X222" s="106">
        <v>0</v>
      </c>
      <c r="Y222" s="106">
        <v>0</v>
      </c>
      <c r="Z222" s="106">
        <v>0</v>
      </c>
      <c r="AA222" s="106">
        <v>0</v>
      </c>
      <c r="AB222" s="106">
        <v>0</v>
      </c>
      <c r="AC222" s="106">
        <v>0</v>
      </c>
      <c r="AD222" s="19">
        <v>0</v>
      </c>
    </row>
    <row r="223" spans="1:30" x14ac:dyDescent="0.2">
      <c r="A223" s="19" t="s">
        <v>353</v>
      </c>
      <c r="B223" s="19" t="s">
        <v>361</v>
      </c>
      <c r="C223" s="20">
        <v>4868835.04</v>
      </c>
      <c r="D223" s="20">
        <v>379573.53409999999</v>
      </c>
      <c r="E223" s="20">
        <v>717548.97450000001</v>
      </c>
      <c r="F223" s="20">
        <v>0</v>
      </c>
      <c r="G223" s="20">
        <v>5965957.5486000003</v>
      </c>
      <c r="H223" s="19" t="s">
        <v>122</v>
      </c>
      <c r="I223" s="106">
        <v>50.567999999999998</v>
      </c>
      <c r="J223" s="106">
        <v>0</v>
      </c>
      <c r="K223" s="106">
        <v>20.86</v>
      </c>
      <c r="L223" s="106">
        <v>5.45</v>
      </c>
      <c r="M223" s="106">
        <v>3.1</v>
      </c>
      <c r="N223" s="106">
        <v>3.5</v>
      </c>
      <c r="O223" s="106">
        <v>4.2300000000000004</v>
      </c>
      <c r="P223" s="106">
        <v>0</v>
      </c>
      <c r="Q223" s="106">
        <v>0</v>
      </c>
      <c r="R223" s="106">
        <v>1</v>
      </c>
      <c r="S223" s="106">
        <v>1</v>
      </c>
      <c r="T223" s="106">
        <v>4</v>
      </c>
      <c r="U223" s="106">
        <v>7.4280000000000008</v>
      </c>
      <c r="V223" s="106">
        <v>0</v>
      </c>
      <c r="W223" s="106">
        <v>0</v>
      </c>
      <c r="X223" s="106">
        <v>0</v>
      </c>
      <c r="Y223" s="106">
        <v>0</v>
      </c>
      <c r="Z223" s="106">
        <v>0</v>
      </c>
      <c r="AA223" s="106">
        <v>0</v>
      </c>
      <c r="AB223" s="106">
        <v>0</v>
      </c>
      <c r="AC223" s="106">
        <v>0</v>
      </c>
      <c r="AD223" s="19">
        <v>0</v>
      </c>
    </row>
    <row r="224" spans="1:30" x14ac:dyDescent="0.2">
      <c r="A224" s="19" t="s">
        <v>353</v>
      </c>
      <c r="B224" s="19" t="s">
        <v>362</v>
      </c>
      <c r="C224" s="20">
        <v>62898820.020000003</v>
      </c>
      <c r="D224" s="20">
        <v>4543416.2029999997</v>
      </c>
      <c r="E224" s="20">
        <v>9721592.0131000001</v>
      </c>
      <c r="F224" s="20">
        <v>2398194.1740000001</v>
      </c>
      <c r="G224" s="20">
        <v>79562022.410099998</v>
      </c>
      <c r="H224" s="19" t="s">
        <v>144</v>
      </c>
      <c r="I224" s="106">
        <v>653.28399999999988</v>
      </c>
      <c r="J224" s="106">
        <v>17.118026666666665</v>
      </c>
      <c r="K224" s="106">
        <v>82.9</v>
      </c>
      <c r="L224" s="106">
        <v>165.15</v>
      </c>
      <c r="M224" s="106">
        <v>60.6</v>
      </c>
      <c r="N224" s="106">
        <v>52.83</v>
      </c>
      <c r="O224" s="106">
        <v>95.77</v>
      </c>
      <c r="P224" s="106">
        <v>-18.829999999999998</v>
      </c>
      <c r="Q224" s="106">
        <v>37.65</v>
      </c>
      <c r="R224" s="106">
        <v>8</v>
      </c>
      <c r="S224" s="106">
        <v>21</v>
      </c>
      <c r="T224" s="106">
        <v>53</v>
      </c>
      <c r="U224" s="106">
        <v>95.213999999999999</v>
      </c>
      <c r="V224" s="106">
        <v>1</v>
      </c>
      <c r="W224" s="106">
        <v>1</v>
      </c>
      <c r="X224" s="106">
        <v>2</v>
      </c>
      <c r="Y224" s="106">
        <v>5</v>
      </c>
      <c r="Z224" s="106">
        <v>4.3552266666666659</v>
      </c>
      <c r="AA224" s="106">
        <v>1</v>
      </c>
      <c r="AB224" s="106">
        <v>1</v>
      </c>
      <c r="AC224" s="106">
        <v>0.76280000000000003</v>
      </c>
      <c r="AD224" s="19">
        <v>1</v>
      </c>
    </row>
    <row r="225" spans="1:30" x14ac:dyDescent="0.2">
      <c r="A225" s="19" t="s">
        <v>363</v>
      </c>
      <c r="B225" s="19" t="s">
        <v>364</v>
      </c>
      <c r="C225" s="20">
        <v>14328168.619999999</v>
      </c>
      <c r="D225" s="20">
        <v>1256354.4698999999</v>
      </c>
      <c r="E225" s="20">
        <v>2929076.2875000001</v>
      </c>
      <c r="F225" s="20">
        <v>0</v>
      </c>
      <c r="G225" s="20">
        <v>18513599.377300002</v>
      </c>
      <c r="H225" s="19" t="s">
        <v>122</v>
      </c>
      <c r="I225" s="106">
        <v>148.804</v>
      </c>
      <c r="J225" s="106">
        <v>0</v>
      </c>
      <c r="K225" s="106">
        <v>0</v>
      </c>
      <c r="L225" s="106">
        <v>58.5</v>
      </c>
      <c r="M225" s="106">
        <v>13.69</v>
      </c>
      <c r="N225" s="106">
        <v>8.5</v>
      </c>
      <c r="O225" s="106">
        <v>5</v>
      </c>
      <c r="P225" s="106">
        <v>-22.49</v>
      </c>
      <c r="Q225" s="106">
        <v>44.97</v>
      </c>
      <c r="R225" s="106">
        <v>1</v>
      </c>
      <c r="S225" s="106">
        <v>6</v>
      </c>
      <c r="T225" s="106">
        <v>12</v>
      </c>
      <c r="U225" s="106">
        <v>21.634</v>
      </c>
      <c r="V225" s="106">
        <v>0</v>
      </c>
      <c r="W225" s="106">
        <v>0</v>
      </c>
      <c r="X225" s="106">
        <v>0</v>
      </c>
      <c r="Y225" s="106">
        <v>0</v>
      </c>
      <c r="Z225" s="106">
        <v>0</v>
      </c>
      <c r="AA225" s="106">
        <v>0</v>
      </c>
      <c r="AB225" s="106">
        <v>0</v>
      </c>
      <c r="AC225" s="106">
        <v>0</v>
      </c>
      <c r="AD225" s="19">
        <v>0</v>
      </c>
    </row>
    <row r="226" spans="1:30" x14ac:dyDescent="0.2">
      <c r="A226" s="19" t="s">
        <v>363</v>
      </c>
      <c r="B226" s="19" t="s">
        <v>365</v>
      </c>
      <c r="C226" s="20">
        <v>14328168.619999999</v>
      </c>
      <c r="D226" s="20">
        <v>1256354.4698999999</v>
      </c>
      <c r="E226" s="20">
        <v>2929076.2875000001</v>
      </c>
      <c r="F226" s="20">
        <v>777605.3602</v>
      </c>
      <c r="G226" s="20">
        <v>19291204.737500001</v>
      </c>
      <c r="H226" s="19" t="s">
        <v>144</v>
      </c>
      <c r="I226" s="106">
        <v>148.804</v>
      </c>
      <c r="J226" s="106">
        <v>6.1718933333333332</v>
      </c>
      <c r="K226" s="106">
        <v>0</v>
      </c>
      <c r="L226" s="106">
        <v>58.5</v>
      </c>
      <c r="M226" s="106">
        <v>13.69</v>
      </c>
      <c r="N226" s="106">
        <v>8.5</v>
      </c>
      <c r="O226" s="106">
        <v>5</v>
      </c>
      <c r="P226" s="106">
        <v>-22.49</v>
      </c>
      <c r="Q226" s="106">
        <v>44.97</v>
      </c>
      <c r="R226" s="106">
        <v>1</v>
      </c>
      <c r="S226" s="106">
        <v>6</v>
      </c>
      <c r="T226" s="106">
        <v>12</v>
      </c>
      <c r="U226" s="106">
        <v>21.634</v>
      </c>
      <c r="V226" s="106">
        <v>1</v>
      </c>
      <c r="W226" s="106">
        <v>1</v>
      </c>
      <c r="X226" s="106">
        <v>0</v>
      </c>
      <c r="Y226" s="106">
        <v>0</v>
      </c>
      <c r="Z226" s="106">
        <v>0.99202666666666672</v>
      </c>
      <c r="AA226" s="106">
        <v>1</v>
      </c>
      <c r="AB226" s="106">
        <v>1</v>
      </c>
      <c r="AC226" s="106">
        <v>0.17986666666666667</v>
      </c>
      <c r="AD226" s="19">
        <v>1</v>
      </c>
    </row>
    <row r="227" spans="1:30" x14ac:dyDescent="0.2">
      <c r="A227" s="19" t="s">
        <v>366</v>
      </c>
      <c r="B227" s="19" t="s">
        <v>367</v>
      </c>
      <c r="C227" s="20">
        <v>6671922.5199999996</v>
      </c>
      <c r="D227" s="20">
        <v>1093128.1917999999</v>
      </c>
      <c r="E227" s="20">
        <v>1430490.0595</v>
      </c>
      <c r="F227" s="20">
        <v>0</v>
      </c>
      <c r="G227" s="20">
        <v>9195540.7714000009</v>
      </c>
      <c r="H227" s="19" t="s">
        <v>122</v>
      </c>
      <c r="I227" s="106">
        <v>69.384</v>
      </c>
      <c r="J227" s="106">
        <v>0</v>
      </c>
      <c r="K227" s="106">
        <v>10</v>
      </c>
      <c r="L227" s="106">
        <v>17.75</v>
      </c>
      <c r="M227" s="106">
        <v>5.36</v>
      </c>
      <c r="N227" s="106">
        <v>11.83</v>
      </c>
      <c r="O227" s="106">
        <v>5.38</v>
      </c>
      <c r="P227" s="106">
        <v>0</v>
      </c>
      <c r="Q227" s="106">
        <v>0</v>
      </c>
      <c r="R227" s="106">
        <v>1</v>
      </c>
      <c r="S227" s="106">
        <v>2</v>
      </c>
      <c r="T227" s="106">
        <v>6</v>
      </c>
      <c r="U227" s="106">
        <v>10.064</v>
      </c>
      <c r="V227" s="106">
        <v>0</v>
      </c>
      <c r="W227" s="106">
        <v>0</v>
      </c>
      <c r="X227" s="106">
        <v>0</v>
      </c>
      <c r="Y227" s="106">
        <v>0</v>
      </c>
      <c r="Z227" s="106">
        <v>0</v>
      </c>
      <c r="AA227" s="106">
        <v>0</v>
      </c>
      <c r="AB227" s="106">
        <v>0</v>
      </c>
      <c r="AC227" s="106">
        <v>0</v>
      </c>
      <c r="AD227" s="19">
        <v>0</v>
      </c>
    </row>
    <row r="228" spans="1:30" x14ac:dyDescent="0.2">
      <c r="A228" s="19" t="s">
        <v>366</v>
      </c>
      <c r="B228" s="19" t="s">
        <v>368</v>
      </c>
      <c r="C228" s="20">
        <v>7967141.6399999997</v>
      </c>
      <c r="D228" s="20">
        <v>1126858.1555000001</v>
      </c>
      <c r="E228" s="20">
        <v>1521933.9491999999</v>
      </c>
      <c r="F228" s="20">
        <v>0</v>
      </c>
      <c r="G228" s="20">
        <v>10615933.7447</v>
      </c>
      <c r="H228" s="19" t="s">
        <v>122</v>
      </c>
      <c r="I228" s="106">
        <v>82.688000000000017</v>
      </c>
      <c r="J228" s="106">
        <v>0</v>
      </c>
      <c r="K228" s="106">
        <v>30.25</v>
      </c>
      <c r="L228" s="106">
        <v>0</v>
      </c>
      <c r="M228" s="106">
        <v>1.67</v>
      </c>
      <c r="N228" s="106">
        <v>11.67</v>
      </c>
      <c r="O228" s="106">
        <v>16.149999999999999</v>
      </c>
      <c r="P228" s="106">
        <v>0</v>
      </c>
      <c r="Q228" s="106">
        <v>0</v>
      </c>
      <c r="R228" s="106">
        <v>1</v>
      </c>
      <c r="S228" s="106">
        <v>3</v>
      </c>
      <c r="T228" s="106">
        <v>7</v>
      </c>
      <c r="U228" s="106">
        <v>11.948</v>
      </c>
      <c r="V228" s="106">
        <v>0</v>
      </c>
      <c r="W228" s="106">
        <v>0</v>
      </c>
      <c r="X228" s="106">
        <v>0</v>
      </c>
      <c r="Y228" s="106">
        <v>0</v>
      </c>
      <c r="Z228" s="106">
        <v>0</v>
      </c>
      <c r="AA228" s="106">
        <v>0</v>
      </c>
      <c r="AB228" s="106">
        <v>0</v>
      </c>
      <c r="AC228" s="106">
        <v>0</v>
      </c>
      <c r="AD228" s="19">
        <v>0</v>
      </c>
    </row>
    <row r="229" spans="1:30" x14ac:dyDescent="0.2">
      <c r="A229" s="19" t="s">
        <v>366</v>
      </c>
      <c r="B229" s="19" t="s">
        <v>369</v>
      </c>
      <c r="C229" s="20">
        <v>7423085.3799999999</v>
      </c>
      <c r="D229" s="20">
        <v>926335.75020000001</v>
      </c>
      <c r="E229" s="20">
        <v>1474735.5327999999</v>
      </c>
      <c r="F229" s="20">
        <v>0</v>
      </c>
      <c r="G229" s="20">
        <v>9824156.6630000006</v>
      </c>
      <c r="H229" s="19" t="s">
        <v>122</v>
      </c>
      <c r="I229" s="106">
        <v>77.196000000000012</v>
      </c>
      <c r="J229" s="106">
        <v>0</v>
      </c>
      <c r="K229" s="106">
        <v>0</v>
      </c>
      <c r="L229" s="106">
        <v>27.6</v>
      </c>
      <c r="M229" s="106">
        <v>8.1</v>
      </c>
      <c r="N229" s="106">
        <v>12.33</v>
      </c>
      <c r="O229" s="106">
        <v>5</v>
      </c>
      <c r="P229" s="106">
        <v>-3.8</v>
      </c>
      <c r="Q229" s="106">
        <v>7.6</v>
      </c>
      <c r="R229" s="106">
        <v>1</v>
      </c>
      <c r="S229" s="106">
        <v>2</v>
      </c>
      <c r="T229" s="106">
        <v>6</v>
      </c>
      <c r="U229" s="106">
        <v>11.366</v>
      </c>
      <c r="V229" s="106">
        <v>0</v>
      </c>
      <c r="W229" s="106">
        <v>0</v>
      </c>
      <c r="X229" s="106">
        <v>0</v>
      </c>
      <c r="Y229" s="106">
        <v>0</v>
      </c>
      <c r="Z229" s="106">
        <v>0</v>
      </c>
      <c r="AA229" s="106">
        <v>0</v>
      </c>
      <c r="AB229" s="106">
        <v>0</v>
      </c>
      <c r="AC229" s="106">
        <v>0</v>
      </c>
      <c r="AD229" s="19">
        <v>0</v>
      </c>
    </row>
    <row r="230" spans="1:30" x14ac:dyDescent="0.2">
      <c r="A230" s="19" t="s">
        <v>366</v>
      </c>
      <c r="B230" s="19" t="s">
        <v>370</v>
      </c>
      <c r="C230" s="20">
        <v>6738846.4000000004</v>
      </c>
      <c r="D230" s="20">
        <v>835249.98930000002</v>
      </c>
      <c r="E230" s="20">
        <v>1322091.0839</v>
      </c>
      <c r="F230" s="20">
        <v>0</v>
      </c>
      <c r="G230" s="20">
        <v>8896187.4730999991</v>
      </c>
      <c r="H230" s="19" t="s">
        <v>122</v>
      </c>
      <c r="I230" s="106">
        <v>70.080000000000013</v>
      </c>
      <c r="J230" s="106">
        <v>0</v>
      </c>
      <c r="K230" s="106">
        <v>0</v>
      </c>
      <c r="L230" s="106">
        <v>24.4</v>
      </c>
      <c r="M230" s="106">
        <v>8.57</v>
      </c>
      <c r="N230" s="106">
        <v>10.17</v>
      </c>
      <c r="O230" s="106">
        <v>5.38</v>
      </c>
      <c r="P230" s="106">
        <v>-2.39</v>
      </c>
      <c r="Q230" s="106">
        <v>4.7699999999999996</v>
      </c>
      <c r="R230" s="106">
        <v>1</v>
      </c>
      <c r="S230" s="106">
        <v>2</v>
      </c>
      <c r="T230" s="106">
        <v>6</v>
      </c>
      <c r="U230" s="106">
        <v>10.18</v>
      </c>
      <c r="V230" s="106">
        <v>0</v>
      </c>
      <c r="W230" s="106">
        <v>0</v>
      </c>
      <c r="X230" s="106">
        <v>0</v>
      </c>
      <c r="Y230" s="106">
        <v>0</v>
      </c>
      <c r="Z230" s="106">
        <v>0</v>
      </c>
      <c r="AA230" s="106">
        <v>0</v>
      </c>
      <c r="AB230" s="106">
        <v>0</v>
      </c>
      <c r="AC230" s="106">
        <v>0</v>
      </c>
      <c r="AD230" s="19">
        <v>0</v>
      </c>
    </row>
    <row r="231" spans="1:30" x14ac:dyDescent="0.2">
      <c r="A231" s="19" t="s">
        <v>366</v>
      </c>
      <c r="B231" s="19" t="s">
        <v>371</v>
      </c>
      <c r="C231" s="20">
        <v>28800995.940000001</v>
      </c>
      <c r="D231" s="20">
        <v>3981572.0868000002</v>
      </c>
      <c r="E231" s="20">
        <v>5749250.6254000003</v>
      </c>
      <c r="F231" s="20">
        <v>1078362.3957</v>
      </c>
      <c r="G231" s="20">
        <v>39610181.047899999</v>
      </c>
      <c r="H231" s="19" t="s">
        <v>144</v>
      </c>
      <c r="I231" s="106">
        <v>299.34800000000001</v>
      </c>
      <c r="J231" s="106">
        <v>8.3429866666666666</v>
      </c>
      <c r="K231" s="106">
        <v>40.25</v>
      </c>
      <c r="L231" s="106">
        <v>69.75</v>
      </c>
      <c r="M231" s="106">
        <v>23.69</v>
      </c>
      <c r="N231" s="106">
        <v>46</v>
      </c>
      <c r="O231" s="106">
        <v>31.92</v>
      </c>
      <c r="P231" s="106">
        <v>-6.19</v>
      </c>
      <c r="Q231" s="106">
        <v>12.37</v>
      </c>
      <c r="R231" s="106">
        <v>4</v>
      </c>
      <c r="S231" s="106">
        <v>9</v>
      </c>
      <c r="T231" s="106">
        <v>25</v>
      </c>
      <c r="U231" s="106">
        <v>43.558</v>
      </c>
      <c r="V231" s="106">
        <v>1</v>
      </c>
      <c r="W231" s="106">
        <v>1</v>
      </c>
      <c r="X231" s="106">
        <v>0</v>
      </c>
      <c r="Y231" s="106">
        <v>1</v>
      </c>
      <c r="Z231" s="106">
        <v>1.9956533333333335</v>
      </c>
      <c r="AA231" s="106">
        <v>1</v>
      </c>
      <c r="AB231" s="106">
        <v>1</v>
      </c>
      <c r="AC231" s="106">
        <v>0.34733333333333333</v>
      </c>
      <c r="AD231" s="19">
        <v>1</v>
      </c>
    </row>
    <row r="232" spans="1:30" x14ac:dyDescent="0.2">
      <c r="A232" s="19" t="s">
        <v>372</v>
      </c>
      <c r="B232" s="19" t="s">
        <v>373</v>
      </c>
      <c r="C232" s="20">
        <v>5060375.8</v>
      </c>
      <c r="D232" s="20">
        <v>1382309.3857</v>
      </c>
      <c r="E232" s="20">
        <v>1377677.8060000001</v>
      </c>
      <c r="F232" s="20">
        <v>0</v>
      </c>
      <c r="G232" s="20">
        <v>7820362.9917000001</v>
      </c>
      <c r="H232" s="19" t="s">
        <v>122</v>
      </c>
      <c r="I232" s="106">
        <v>52.559999999999995</v>
      </c>
      <c r="J232" s="106">
        <v>0</v>
      </c>
      <c r="K232" s="106">
        <v>23.02</v>
      </c>
      <c r="L232" s="106">
        <v>9.75</v>
      </c>
      <c r="M232" s="106">
        <v>2.38</v>
      </c>
      <c r="N232" s="106">
        <v>2.5</v>
      </c>
      <c r="O232" s="106">
        <v>1.1499999999999999</v>
      </c>
      <c r="P232" s="106">
        <v>0</v>
      </c>
      <c r="Q232" s="106">
        <v>0</v>
      </c>
      <c r="R232" s="106">
        <v>1</v>
      </c>
      <c r="S232" s="106">
        <v>1</v>
      </c>
      <c r="T232" s="106">
        <v>4</v>
      </c>
      <c r="U232" s="106">
        <v>7.76</v>
      </c>
      <c r="V232" s="106">
        <v>0</v>
      </c>
      <c r="W232" s="106">
        <v>0</v>
      </c>
      <c r="X232" s="106">
        <v>0</v>
      </c>
      <c r="Y232" s="106">
        <v>0</v>
      </c>
      <c r="Z232" s="106">
        <v>0</v>
      </c>
      <c r="AA232" s="106">
        <v>0</v>
      </c>
      <c r="AB232" s="106">
        <v>0</v>
      </c>
      <c r="AC232" s="106">
        <v>0</v>
      </c>
      <c r="AD232" s="19">
        <v>0</v>
      </c>
    </row>
    <row r="233" spans="1:30" x14ac:dyDescent="0.2">
      <c r="A233" s="19" t="s">
        <v>372</v>
      </c>
      <c r="B233" s="19" t="s">
        <v>374</v>
      </c>
      <c r="C233" s="20">
        <v>2561510.7400000002</v>
      </c>
      <c r="D233" s="20">
        <v>869153.30810000002</v>
      </c>
      <c r="E233" s="20">
        <v>847462.25060000003</v>
      </c>
      <c r="F233" s="20">
        <v>0</v>
      </c>
      <c r="G233" s="20">
        <v>4278126.2988</v>
      </c>
      <c r="H233" s="19" t="s">
        <v>122</v>
      </c>
      <c r="I233" s="106">
        <v>26.508000000000003</v>
      </c>
      <c r="J233" s="106">
        <v>0</v>
      </c>
      <c r="K233" s="106">
        <v>0</v>
      </c>
      <c r="L233" s="106">
        <v>14.05</v>
      </c>
      <c r="M233" s="106">
        <v>3.33</v>
      </c>
      <c r="N233" s="106">
        <v>0.67</v>
      </c>
      <c r="O233" s="106">
        <v>1.54</v>
      </c>
      <c r="P233" s="106">
        <v>0</v>
      </c>
      <c r="Q233" s="106">
        <v>0</v>
      </c>
      <c r="R233" s="106">
        <v>1</v>
      </c>
      <c r="S233" s="106">
        <v>0</v>
      </c>
      <c r="T233" s="106">
        <v>2</v>
      </c>
      <c r="U233" s="106">
        <v>3.9180000000000001</v>
      </c>
      <c r="V233" s="106">
        <v>0</v>
      </c>
      <c r="W233" s="106">
        <v>0</v>
      </c>
      <c r="X233" s="106">
        <v>0</v>
      </c>
      <c r="Y233" s="106">
        <v>0</v>
      </c>
      <c r="Z233" s="106">
        <v>0</v>
      </c>
      <c r="AA233" s="106">
        <v>0</v>
      </c>
      <c r="AB233" s="106">
        <v>0</v>
      </c>
      <c r="AC233" s="106">
        <v>0</v>
      </c>
      <c r="AD233" s="19">
        <v>0</v>
      </c>
    </row>
    <row r="234" spans="1:30" x14ac:dyDescent="0.2">
      <c r="A234" s="19" t="s">
        <v>372</v>
      </c>
      <c r="B234" s="19" t="s">
        <v>372</v>
      </c>
      <c r="C234" s="20">
        <v>7621886.54</v>
      </c>
      <c r="D234" s="20">
        <v>2251462.6938</v>
      </c>
      <c r="E234" s="20">
        <v>2225140.0567000001</v>
      </c>
      <c r="F234" s="20">
        <v>717920.61259999999</v>
      </c>
      <c r="G234" s="20">
        <v>12816409.903000001</v>
      </c>
      <c r="H234" s="19" t="s">
        <v>122</v>
      </c>
      <c r="I234" s="106">
        <v>79.067999999999998</v>
      </c>
      <c r="J234" s="106">
        <v>5.6501866666666665</v>
      </c>
      <c r="K234" s="106">
        <v>23.02</v>
      </c>
      <c r="L234" s="106">
        <v>23.8</v>
      </c>
      <c r="M234" s="106">
        <v>5.71</v>
      </c>
      <c r="N234" s="106">
        <v>3.17</v>
      </c>
      <c r="O234" s="106">
        <v>2.69</v>
      </c>
      <c r="P234" s="106">
        <v>0</v>
      </c>
      <c r="Q234" s="106">
        <v>0</v>
      </c>
      <c r="R234" s="106">
        <v>2</v>
      </c>
      <c r="S234" s="106">
        <v>1</v>
      </c>
      <c r="T234" s="106">
        <v>6</v>
      </c>
      <c r="U234" s="106">
        <v>11.678000000000001</v>
      </c>
      <c r="V234" s="106">
        <v>1</v>
      </c>
      <c r="W234" s="106">
        <v>1</v>
      </c>
      <c r="X234" s="106">
        <v>0</v>
      </c>
      <c r="Y234" s="106">
        <v>0</v>
      </c>
      <c r="Z234" s="106">
        <v>0.52712000000000003</v>
      </c>
      <c r="AA234" s="106">
        <v>1</v>
      </c>
      <c r="AB234" s="106">
        <v>1</v>
      </c>
      <c r="AC234" s="106">
        <v>0.12306666666666667</v>
      </c>
      <c r="AD234" s="19">
        <v>1</v>
      </c>
    </row>
    <row r="235" spans="1:30" x14ac:dyDescent="0.2">
      <c r="A235" s="19" t="s">
        <v>375</v>
      </c>
      <c r="B235" s="19" t="s">
        <v>376</v>
      </c>
      <c r="C235" s="20">
        <v>1907102.16</v>
      </c>
      <c r="D235" s="20">
        <v>324644.70929999999</v>
      </c>
      <c r="E235" s="20">
        <v>403401.24709999998</v>
      </c>
      <c r="F235" s="20">
        <v>0</v>
      </c>
      <c r="G235" s="20">
        <v>2635148.1162999999</v>
      </c>
      <c r="H235" s="19" t="s">
        <v>122</v>
      </c>
      <c r="I235" s="106">
        <v>19.472000000000001</v>
      </c>
      <c r="J235" s="106">
        <v>0</v>
      </c>
      <c r="K235" s="106">
        <v>8.4</v>
      </c>
      <c r="L235" s="106">
        <v>0</v>
      </c>
      <c r="M235" s="106">
        <v>2.02</v>
      </c>
      <c r="N235" s="106">
        <v>1.83</v>
      </c>
      <c r="O235" s="106">
        <v>2.31</v>
      </c>
      <c r="P235" s="106">
        <v>0</v>
      </c>
      <c r="Q235" s="106">
        <v>0</v>
      </c>
      <c r="R235" s="106">
        <v>1</v>
      </c>
      <c r="S235" s="106">
        <v>0</v>
      </c>
      <c r="T235" s="106">
        <v>1</v>
      </c>
      <c r="U235" s="106">
        <v>2.9120000000000004</v>
      </c>
      <c r="V235" s="106">
        <v>0</v>
      </c>
      <c r="W235" s="106">
        <v>0</v>
      </c>
      <c r="X235" s="106">
        <v>0</v>
      </c>
      <c r="Y235" s="106">
        <v>0</v>
      </c>
      <c r="Z235" s="106">
        <v>0</v>
      </c>
      <c r="AA235" s="106">
        <v>0</v>
      </c>
      <c r="AB235" s="106">
        <v>0</v>
      </c>
      <c r="AC235" s="106">
        <v>0</v>
      </c>
      <c r="AD235" s="19">
        <v>0</v>
      </c>
    </row>
    <row r="236" spans="1:30" x14ac:dyDescent="0.2">
      <c r="A236" s="19" t="s">
        <v>375</v>
      </c>
      <c r="B236" s="19" t="s">
        <v>377</v>
      </c>
      <c r="C236" s="20">
        <v>2693050.78</v>
      </c>
      <c r="D236" s="20">
        <v>409836.39429999999</v>
      </c>
      <c r="E236" s="20">
        <v>567111.12049999996</v>
      </c>
      <c r="F236" s="20">
        <v>0</v>
      </c>
      <c r="G236" s="20">
        <v>3669998.2949000001</v>
      </c>
      <c r="H236" s="19" t="s">
        <v>122</v>
      </c>
      <c r="I236" s="106">
        <v>27.876000000000005</v>
      </c>
      <c r="J236" s="106">
        <v>0</v>
      </c>
      <c r="K236" s="106">
        <v>3.02</v>
      </c>
      <c r="L236" s="106">
        <v>8.9499999999999993</v>
      </c>
      <c r="M236" s="106">
        <v>4.17</v>
      </c>
      <c r="N236" s="106">
        <v>2.67</v>
      </c>
      <c r="O236" s="106">
        <v>1.92</v>
      </c>
      <c r="P236" s="106">
        <v>0</v>
      </c>
      <c r="Q236" s="106">
        <v>0</v>
      </c>
      <c r="R236" s="106">
        <v>1</v>
      </c>
      <c r="S236" s="106">
        <v>0</v>
      </c>
      <c r="T236" s="106">
        <v>2</v>
      </c>
      <c r="U236" s="106">
        <v>4.1459999999999999</v>
      </c>
      <c r="V236" s="106">
        <v>0</v>
      </c>
      <c r="W236" s="106">
        <v>0</v>
      </c>
      <c r="X236" s="106">
        <v>0</v>
      </c>
      <c r="Y236" s="106">
        <v>0</v>
      </c>
      <c r="Z236" s="106">
        <v>0</v>
      </c>
      <c r="AA236" s="106">
        <v>0</v>
      </c>
      <c r="AB236" s="106">
        <v>0</v>
      </c>
      <c r="AC236" s="106">
        <v>0</v>
      </c>
      <c r="AD236" s="19">
        <v>0</v>
      </c>
    </row>
    <row r="237" spans="1:30" x14ac:dyDescent="0.2">
      <c r="A237" s="19" t="s">
        <v>375</v>
      </c>
      <c r="B237" s="19" t="s">
        <v>375</v>
      </c>
      <c r="C237" s="20">
        <v>4600152.9400000004</v>
      </c>
      <c r="D237" s="20">
        <v>734481.10360000003</v>
      </c>
      <c r="E237" s="20">
        <v>970512.3676</v>
      </c>
      <c r="F237" s="20">
        <v>686237.44609999994</v>
      </c>
      <c r="G237" s="20">
        <v>6991383.8573000003</v>
      </c>
      <c r="H237" s="19" t="s">
        <v>122</v>
      </c>
      <c r="I237" s="106">
        <v>47.347999999999999</v>
      </c>
      <c r="J237" s="106">
        <v>5.3761866666666673</v>
      </c>
      <c r="K237" s="106">
        <v>11.42</v>
      </c>
      <c r="L237" s="106">
        <v>8.9499999999999993</v>
      </c>
      <c r="M237" s="106">
        <v>6.19</v>
      </c>
      <c r="N237" s="106">
        <v>4.5</v>
      </c>
      <c r="O237" s="106">
        <v>4.2300000000000004</v>
      </c>
      <c r="P237" s="106">
        <v>0</v>
      </c>
      <c r="Q237" s="106">
        <v>0</v>
      </c>
      <c r="R237" s="106">
        <v>2</v>
      </c>
      <c r="S237" s="106">
        <v>0</v>
      </c>
      <c r="T237" s="106">
        <v>3</v>
      </c>
      <c r="U237" s="106">
        <v>7.0579999999999998</v>
      </c>
      <c r="V237" s="106">
        <v>1</v>
      </c>
      <c r="W237" s="106">
        <v>1</v>
      </c>
      <c r="X237" s="106">
        <v>0</v>
      </c>
      <c r="Y237" s="106">
        <v>0</v>
      </c>
      <c r="Z237" s="106">
        <v>0.31565333333333334</v>
      </c>
      <c r="AA237" s="106">
        <v>1</v>
      </c>
      <c r="AB237" s="106">
        <v>1</v>
      </c>
      <c r="AC237" s="106">
        <v>6.0533333333333335E-2</v>
      </c>
      <c r="AD237" s="19">
        <v>1</v>
      </c>
    </row>
    <row r="238" spans="1:30" x14ac:dyDescent="0.2">
      <c r="A238" s="19" t="s">
        <v>378</v>
      </c>
      <c r="B238" s="19" t="s">
        <v>378</v>
      </c>
      <c r="C238" s="20">
        <v>1442096.58</v>
      </c>
      <c r="D238" s="20">
        <v>144058.1489</v>
      </c>
      <c r="E238" s="20">
        <v>256727.5845</v>
      </c>
      <c r="F238" s="20">
        <v>656078.98210000002</v>
      </c>
      <c r="G238" s="20">
        <v>2498961.2955</v>
      </c>
      <c r="H238" s="19" t="s">
        <v>122</v>
      </c>
      <c r="I238" s="106">
        <v>14.636000000000001</v>
      </c>
      <c r="J238" s="106">
        <v>5.113973333333333</v>
      </c>
      <c r="K238" s="106">
        <v>0</v>
      </c>
      <c r="L238" s="106">
        <v>4.2</v>
      </c>
      <c r="M238" s="106">
        <v>2.62</v>
      </c>
      <c r="N238" s="106">
        <v>2.17</v>
      </c>
      <c r="O238" s="106">
        <v>1.54</v>
      </c>
      <c r="P238" s="106">
        <v>0</v>
      </c>
      <c r="Q238" s="106">
        <v>0</v>
      </c>
      <c r="R238" s="106">
        <v>1</v>
      </c>
      <c r="S238" s="106">
        <v>0</v>
      </c>
      <c r="T238" s="106">
        <v>1</v>
      </c>
      <c r="U238" s="106">
        <v>2.1059999999999999</v>
      </c>
      <c r="V238" s="106">
        <v>1</v>
      </c>
      <c r="W238" s="106">
        <v>1</v>
      </c>
      <c r="X238" s="106">
        <v>0</v>
      </c>
      <c r="Y238" s="106">
        <v>0</v>
      </c>
      <c r="Z238" s="106">
        <v>9.7573333333333345E-2</v>
      </c>
      <c r="AA238" s="106">
        <v>1</v>
      </c>
      <c r="AB238" s="106">
        <v>1</v>
      </c>
      <c r="AC238" s="106">
        <v>1.6400000000000001E-2</v>
      </c>
      <c r="AD238" s="19">
        <v>1</v>
      </c>
    </row>
    <row r="239" spans="1:30" x14ac:dyDescent="0.2">
      <c r="A239" s="19" t="s">
        <v>379</v>
      </c>
      <c r="B239" s="19" t="s">
        <v>380</v>
      </c>
      <c r="C239" s="20">
        <v>2470355.7999999998</v>
      </c>
      <c r="D239" s="20">
        <v>346982.76160000003</v>
      </c>
      <c r="E239" s="20">
        <v>467846.79879999999</v>
      </c>
      <c r="F239" s="20">
        <v>0</v>
      </c>
      <c r="G239" s="20">
        <v>3285185.3604000001</v>
      </c>
      <c r="H239" s="19" t="s">
        <v>122</v>
      </c>
      <c r="I239" s="106">
        <v>25.560000000000002</v>
      </c>
      <c r="J239" s="106">
        <v>0</v>
      </c>
      <c r="K239" s="106">
        <v>9.44</v>
      </c>
      <c r="L239" s="106">
        <v>4</v>
      </c>
      <c r="M239" s="106">
        <v>2.38</v>
      </c>
      <c r="N239" s="106">
        <v>0.67</v>
      </c>
      <c r="O239" s="106">
        <v>2.31</v>
      </c>
      <c r="P239" s="106">
        <v>0</v>
      </c>
      <c r="Q239" s="106">
        <v>0</v>
      </c>
      <c r="R239" s="106">
        <v>1</v>
      </c>
      <c r="S239" s="106">
        <v>0</v>
      </c>
      <c r="T239" s="106">
        <v>2</v>
      </c>
      <c r="U239" s="106">
        <v>3.7600000000000002</v>
      </c>
      <c r="V239" s="106">
        <v>0</v>
      </c>
      <c r="W239" s="106">
        <v>0</v>
      </c>
      <c r="X239" s="106">
        <v>0</v>
      </c>
      <c r="Y239" s="106">
        <v>0</v>
      </c>
      <c r="Z239" s="106">
        <v>0</v>
      </c>
      <c r="AA239" s="106">
        <v>0</v>
      </c>
      <c r="AB239" s="106">
        <v>0</v>
      </c>
      <c r="AC239" s="106">
        <v>0</v>
      </c>
      <c r="AD239" s="19">
        <v>0</v>
      </c>
    </row>
    <row r="240" spans="1:30" x14ac:dyDescent="0.2">
      <c r="A240" s="19" t="s">
        <v>379</v>
      </c>
      <c r="B240" s="19" t="s">
        <v>381</v>
      </c>
      <c r="C240" s="20">
        <v>1289594.75</v>
      </c>
      <c r="D240" s="20">
        <v>236357.39610000001</v>
      </c>
      <c r="E240" s="20">
        <v>295489.02029999997</v>
      </c>
      <c r="F240" s="20">
        <v>0</v>
      </c>
      <c r="G240" s="20">
        <v>1821441.1664</v>
      </c>
      <c r="H240" s="19" t="s">
        <v>122</v>
      </c>
      <c r="I240" s="106">
        <v>13.05</v>
      </c>
      <c r="J240" s="106">
        <v>0</v>
      </c>
      <c r="K240" s="106">
        <v>0</v>
      </c>
      <c r="L240" s="106">
        <v>5.75</v>
      </c>
      <c r="M240" s="106">
        <v>2.2599999999999998</v>
      </c>
      <c r="N240" s="106">
        <v>0.67</v>
      </c>
      <c r="O240" s="106">
        <v>0.38</v>
      </c>
      <c r="P240" s="106">
        <v>-0.16</v>
      </c>
      <c r="Q240" s="106">
        <v>0.31</v>
      </c>
      <c r="R240" s="106">
        <v>1</v>
      </c>
      <c r="S240" s="106">
        <v>0</v>
      </c>
      <c r="T240" s="106">
        <v>1</v>
      </c>
      <c r="U240" s="106">
        <v>1.8399999999999999</v>
      </c>
      <c r="V240" s="106">
        <v>0</v>
      </c>
      <c r="W240" s="106">
        <v>0</v>
      </c>
      <c r="X240" s="106">
        <v>0</v>
      </c>
      <c r="Y240" s="106">
        <v>0</v>
      </c>
      <c r="Z240" s="106">
        <v>0</v>
      </c>
      <c r="AA240" s="106">
        <v>0</v>
      </c>
      <c r="AB240" s="106">
        <v>0</v>
      </c>
      <c r="AC240" s="106">
        <v>0</v>
      </c>
      <c r="AD240" s="19">
        <v>0</v>
      </c>
    </row>
    <row r="241" spans="1:30" x14ac:dyDescent="0.2">
      <c r="A241" s="19" t="s">
        <v>379</v>
      </c>
      <c r="B241" s="19" t="s">
        <v>379</v>
      </c>
      <c r="C241" s="20">
        <v>3758989</v>
      </c>
      <c r="D241" s="20">
        <v>583340.15760000004</v>
      </c>
      <c r="E241" s="20">
        <v>763335.81920000003</v>
      </c>
      <c r="F241" s="20">
        <v>678774.03769999999</v>
      </c>
      <c r="G241" s="20">
        <v>5784439.0144999996</v>
      </c>
      <c r="H241" s="19" t="s">
        <v>122</v>
      </c>
      <c r="I241" s="106">
        <v>38.6</v>
      </c>
      <c r="J241" s="106">
        <v>5.3109333333333337</v>
      </c>
      <c r="K241" s="106">
        <v>9.44</v>
      </c>
      <c r="L241" s="106">
        <v>9.75</v>
      </c>
      <c r="M241" s="106">
        <v>4.6399999999999997</v>
      </c>
      <c r="N241" s="106">
        <v>1.33</v>
      </c>
      <c r="O241" s="106">
        <v>2.69</v>
      </c>
      <c r="P241" s="106">
        <v>-0.16</v>
      </c>
      <c r="Q241" s="106">
        <v>0.31</v>
      </c>
      <c r="R241" s="106">
        <v>2</v>
      </c>
      <c r="S241" s="106">
        <v>0</v>
      </c>
      <c r="T241" s="106">
        <v>3</v>
      </c>
      <c r="U241" s="106">
        <v>5.6</v>
      </c>
      <c r="V241" s="106">
        <v>1</v>
      </c>
      <c r="W241" s="106">
        <v>1</v>
      </c>
      <c r="X241" s="106">
        <v>0</v>
      </c>
      <c r="Y241" s="106">
        <v>0</v>
      </c>
      <c r="Z241" s="106">
        <v>0.25733333333333336</v>
      </c>
      <c r="AA241" s="106">
        <v>1</v>
      </c>
      <c r="AB241" s="106">
        <v>1</v>
      </c>
      <c r="AC241" s="106">
        <v>5.3600000000000002E-2</v>
      </c>
      <c r="AD241" s="19">
        <v>1</v>
      </c>
    </row>
    <row r="242" spans="1:30" x14ac:dyDescent="0.2">
      <c r="A242" s="19" t="s">
        <v>382</v>
      </c>
      <c r="B242" s="19" t="s">
        <v>383</v>
      </c>
      <c r="C242" s="20">
        <v>4191349.26</v>
      </c>
      <c r="D242" s="20">
        <v>796888.96589999995</v>
      </c>
      <c r="E242" s="20">
        <v>920020.28370000003</v>
      </c>
      <c r="F242" s="20">
        <v>0</v>
      </c>
      <c r="G242" s="20">
        <v>5908258.5097000003</v>
      </c>
      <c r="H242" s="19" t="s">
        <v>122</v>
      </c>
      <c r="I242" s="106">
        <v>43.291999999999994</v>
      </c>
      <c r="J242" s="106">
        <v>0</v>
      </c>
      <c r="K242" s="106">
        <v>16.73</v>
      </c>
      <c r="L242" s="106">
        <v>8.1</v>
      </c>
      <c r="M242" s="106">
        <v>2.5</v>
      </c>
      <c r="N242" s="106">
        <v>1.5</v>
      </c>
      <c r="O242" s="106">
        <v>3.08</v>
      </c>
      <c r="P242" s="106">
        <v>0</v>
      </c>
      <c r="Q242" s="106">
        <v>0</v>
      </c>
      <c r="R242" s="106">
        <v>1</v>
      </c>
      <c r="S242" s="106">
        <v>1</v>
      </c>
      <c r="T242" s="106">
        <v>3</v>
      </c>
      <c r="U242" s="106">
        <v>6.3820000000000006</v>
      </c>
      <c r="V242" s="106">
        <v>0</v>
      </c>
      <c r="W242" s="106">
        <v>0</v>
      </c>
      <c r="X242" s="106">
        <v>0</v>
      </c>
      <c r="Y242" s="106">
        <v>0</v>
      </c>
      <c r="Z242" s="106">
        <v>0</v>
      </c>
      <c r="AA242" s="106">
        <v>0</v>
      </c>
      <c r="AB242" s="106">
        <v>0</v>
      </c>
      <c r="AC242" s="106">
        <v>0</v>
      </c>
      <c r="AD242" s="19">
        <v>0</v>
      </c>
    </row>
    <row r="243" spans="1:30" x14ac:dyDescent="0.2">
      <c r="A243" s="19" t="s">
        <v>382</v>
      </c>
      <c r="B243" s="19" t="s">
        <v>384</v>
      </c>
      <c r="C243" s="20">
        <v>2479586.6800000002</v>
      </c>
      <c r="D243" s="20">
        <v>489010.17839999998</v>
      </c>
      <c r="E243" s="20">
        <v>593249.53540000005</v>
      </c>
      <c r="F243" s="20">
        <v>0</v>
      </c>
      <c r="G243" s="20">
        <v>3561846.3938000002</v>
      </c>
      <c r="H243" s="19" t="s">
        <v>122</v>
      </c>
      <c r="I243" s="106">
        <v>25.656000000000002</v>
      </c>
      <c r="J243" s="106">
        <v>0</v>
      </c>
      <c r="K243" s="106">
        <v>0</v>
      </c>
      <c r="L243" s="106">
        <v>12.3</v>
      </c>
      <c r="M243" s="106">
        <v>3.21</v>
      </c>
      <c r="N243" s="106">
        <v>1.83</v>
      </c>
      <c r="O243" s="106">
        <v>1.54</v>
      </c>
      <c r="P243" s="106">
        <v>0</v>
      </c>
      <c r="Q243" s="106">
        <v>0</v>
      </c>
      <c r="R243" s="106">
        <v>1</v>
      </c>
      <c r="S243" s="106">
        <v>0</v>
      </c>
      <c r="T243" s="106">
        <v>2</v>
      </c>
      <c r="U243" s="106">
        <v>3.7759999999999998</v>
      </c>
      <c r="V243" s="106">
        <v>0</v>
      </c>
      <c r="W243" s="106">
        <v>0</v>
      </c>
      <c r="X243" s="106">
        <v>0</v>
      </c>
      <c r="Y243" s="106">
        <v>0</v>
      </c>
      <c r="Z243" s="106">
        <v>0</v>
      </c>
      <c r="AA243" s="106">
        <v>0</v>
      </c>
      <c r="AB243" s="106">
        <v>0</v>
      </c>
      <c r="AC243" s="106">
        <v>0</v>
      </c>
      <c r="AD243" s="19">
        <v>0</v>
      </c>
    </row>
    <row r="244" spans="1:30" x14ac:dyDescent="0.2">
      <c r="A244" s="19" t="s">
        <v>382</v>
      </c>
      <c r="B244" s="19" t="s">
        <v>382</v>
      </c>
      <c r="C244" s="20">
        <v>6670935.9400000004</v>
      </c>
      <c r="D244" s="20">
        <v>1285899.1444000001</v>
      </c>
      <c r="E244" s="20">
        <v>1513269.8191</v>
      </c>
      <c r="F244" s="20">
        <v>707575.5932</v>
      </c>
      <c r="G244" s="20">
        <v>10177680.4967</v>
      </c>
      <c r="H244" s="19" t="s">
        <v>122</v>
      </c>
      <c r="I244" s="106">
        <v>68.947999999999993</v>
      </c>
      <c r="J244" s="106">
        <v>5.5608533333333341</v>
      </c>
      <c r="K244" s="106">
        <v>16.73</v>
      </c>
      <c r="L244" s="106">
        <v>20.399999999999999</v>
      </c>
      <c r="M244" s="106">
        <v>5.71</v>
      </c>
      <c r="N244" s="106">
        <v>3.33</v>
      </c>
      <c r="O244" s="106">
        <v>4.62</v>
      </c>
      <c r="P244" s="106">
        <v>0</v>
      </c>
      <c r="Q244" s="106">
        <v>0</v>
      </c>
      <c r="R244" s="106">
        <v>2</v>
      </c>
      <c r="S244" s="106">
        <v>1</v>
      </c>
      <c r="T244" s="106">
        <v>5</v>
      </c>
      <c r="U244" s="106">
        <v>10.158000000000001</v>
      </c>
      <c r="V244" s="106">
        <v>1</v>
      </c>
      <c r="W244" s="106">
        <v>1</v>
      </c>
      <c r="X244" s="106">
        <v>0</v>
      </c>
      <c r="Y244" s="106">
        <v>0</v>
      </c>
      <c r="Z244" s="106">
        <v>0.4596533333333333</v>
      </c>
      <c r="AA244" s="106">
        <v>1</v>
      </c>
      <c r="AB244" s="106">
        <v>1</v>
      </c>
      <c r="AC244" s="106">
        <v>0.1012</v>
      </c>
      <c r="AD244" s="19">
        <v>1</v>
      </c>
    </row>
    <row r="245" spans="1:30" x14ac:dyDescent="0.2">
      <c r="A245" s="19" t="s">
        <v>385</v>
      </c>
      <c r="B245" s="19" t="s">
        <v>385</v>
      </c>
      <c r="C245" s="20">
        <v>6671922.5199999996</v>
      </c>
      <c r="D245" s="20">
        <v>96236.886100000003</v>
      </c>
      <c r="E245" s="20">
        <v>725547.8811</v>
      </c>
      <c r="F245" s="20">
        <v>711546.35589999997</v>
      </c>
      <c r="G245" s="20">
        <v>8205253.6431</v>
      </c>
      <c r="H245" s="19" t="s">
        <v>122</v>
      </c>
      <c r="I245" s="106">
        <v>69.384</v>
      </c>
      <c r="J245" s="106">
        <v>5.5932266666666663</v>
      </c>
      <c r="K245" s="106">
        <v>0</v>
      </c>
      <c r="L245" s="106">
        <v>48.3</v>
      </c>
      <c r="M245" s="106">
        <v>1.31</v>
      </c>
      <c r="N245" s="106">
        <v>0.33</v>
      </c>
      <c r="O245" s="106">
        <v>0.38</v>
      </c>
      <c r="P245" s="106">
        <v>0</v>
      </c>
      <c r="Q245" s="106">
        <v>0</v>
      </c>
      <c r="R245" s="106">
        <v>1</v>
      </c>
      <c r="S245" s="106">
        <v>2</v>
      </c>
      <c r="T245" s="106">
        <v>6</v>
      </c>
      <c r="U245" s="106">
        <v>10.064</v>
      </c>
      <c r="V245" s="106">
        <v>1</v>
      </c>
      <c r="W245" s="106">
        <v>1</v>
      </c>
      <c r="X245" s="106">
        <v>0</v>
      </c>
      <c r="Y245" s="106">
        <v>0</v>
      </c>
      <c r="Z245" s="106">
        <v>0.46256000000000003</v>
      </c>
      <c r="AA245" s="106">
        <v>1</v>
      </c>
      <c r="AB245" s="106">
        <v>1</v>
      </c>
      <c r="AC245" s="106">
        <v>0.13066666666666665</v>
      </c>
      <c r="AD245" s="19">
        <v>1</v>
      </c>
    </row>
    <row r="246" spans="1:30" x14ac:dyDescent="0.2">
      <c r="A246" s="19" t="s">
        <v>386</v>
      </c>
      <c r="B246" s="19" t="s">
        <v>386</v>
      </c>
      <c r="C246" s="20">
        <v>4417675.78</v>
      </c>
      <c r="D246" s="20">
        <v>241186.5759</v>
      </c>
      <c r="E246" s="20">
        <v>602319.28949999996</v>
      </c>
      <c r="F246" s="20">
        <v>686789.98600000003</v>
      </c>
      <c r="G246" s="20">
        <v>5947971.6314000003</v>
      </c>
      <c r="H246" s="19" t="s">
        <v>122</v>
      </c>
      <c r="I246" s="106">
        <v>45.876000000000005</v>
      </c>
      <c r="J246" s="106">
        <v>5.3798399999999997</v>
      </c>
      <c r="K246" s="106">
        <v>0</v>
      </c>
      <c r="L246" s="106">
        <v>25.05</v>
      </c>
      <c r="M246" s="106">
        <v>6.43</v>
      </c>
      <c r="N246" s="106">
        <v>0</v>
      </c>
      <c r="O246" s="106">
        <v>0</v>
      </c>
      <c r="P246" s="106">
        <v>-1.75</v>
      </c>
      <c r="Q246" s="106">
        <v>3.5</v>
      </c>
      <c r="R246" s="106">
        <v>1</v>
      </c>
      <c r="S246" s="106">
        <v>1</v>
      </c>
      <c r="T246" s="106">
        <v>4</v>
      </c>
      <c r="U246" s="106">
        <v>6.6459999999999999</v>
      </c>
      <c r="V246" s="106">
        <v>1</v>
      </c>
      <c r="W246" s="106">
        <v>1</v>
      </c>
      <c r="X246" s="106">
        <v>0</v>
      </c>
      <c r="Y246" s="106">
        <v>0</v>
      </c>
      <c r="Z246" s="106">
        <v>0.30584000000000006</v>
      </c>
      <c r="AA246" s="106">
        <v>1</v>
      </c>
      <c r="AB246" s="106">
        <v>1</v>
      </c>
      <c r="AC246" s="106">
        <v>7.3999999999999996E-2</v>
      </c>
      <c r="AD246" s="19">
        <v>1</v>
      </c>
    </row>
    <row r="247" spans="1:30" x14ac:dyDescent="0.2">
      <c r="A247" s="19" t="s">
        <v>387</v>
      </c>
      <c r="B247" s="19" t="s">
        <v>387</v>
      </c>
      <c r="C247" s="20">
        <v>4693448.32</v>
      </c>
      <c r="D247" s="20">
        <v>664767.55900000001</v>
      </c>
      <c r="E247" s="20">
        <v>1005769.2115</v>
      </c>
      <c r="F247" s="20">
        <v>689647.97950000002</v>
      </c>
      <c r="G247" s="20">
        <v>7053633.0700000003</v>
      </c>
      <c r="H247" s="19" t="s">
        <v>122</v>
      </c>
      <c r="I247" s="106">
        <v>48.744000000000007</v>
      </c>
      <c r="J247" s="106">
        <v>5.40456</v>
      </c>
      <c r="K247" s="106">
        <v>0</v>
      </c>
      <c r="L247" s="106">
        <v>26.8</v>
      </c>
      <c r="M247" s="106">
        <v>6.07</v>
      </c>
      <c r="N247" s="106">
        <v>0.83</v>
      </c>
      <c r="O247" s="106">
        <v>1.92</v>
      </c>
      <c r="P247" s="106">
        <v>0</v>
      </c>
      <c r="Q247" s="106">
        <v>0</v>
      </c>
      <c r="R247" s="106">
        <v>1</v>
      </c>
      <c r="S247" s="106">
        <v>1</v>
      </c>
      <c r="T247" s="106">
        <v>4</v>
      </c>
      <c r="U247" s="106">
        <v>7.1239999999999997</v>
      </c>
      <c r="V247" s="106">
        <v>1</v>
      </c>
      <c r="W247" s="106">
        <v>1</v>
      </c>
      <c r="X247" s="106">
        <v>0</v>
      </c>
      <c r="Y247" s="106">
        <v>0</v>
      </c>
      <c r="Z247" s="106">
        <v>0.32496000000000003</v>
      </c>
      <c r="AA247" s="106">
        <v>1</v>
      </c>
      <c r="AB247" s="106">
        <v>1</v>
      </c>
      <c r="AC247" s="106">
        <v>7.9600000000000004E-2</v>
      </c>
      <c r="AD247" s="19">
        <v>1</v>
      </c>
    </row>
    <row r="248" spans="1:30" x14ac:dyDescent="0.2">
      <c r="A248" s="19" t="s">
        <v>388</v>
      </c>
      <c r="B248" s="19" t="s">
        <v>389</v>
      </c>
      <c r="C248" s="20">
        <v>3144435.97</v>
      </c>
      <c r="D248" s="20">
        <v>725788.57990000001</v>
      </c>
      <c r="E248" s="20">
        <v>792118.90289999999</v>
      </c>
      <c r="F248" s="20">
        <v>0</v>
      </c>
      <c r="G248" s="20">
        <v>4662343.4528999999</v>
      </c>
      <c r="H248" s="19" t="s">
        <v>122</v>
      </c>
      <c r="I248" s="106">
        <v>32.173999999999999</v>
      </c>
      <c r="J248" s="106">
        <v>0</v>
      </c>
      <c r="K248" s="106">
        <v>10.43</v>
      </c>
      <c r="L248" s="106">
        <v>3.95</v>
      </c>
      <c r="M248" s="106">
        <v>4.29</v>
      </c>
      <c r="N248" s="106">
        <v>2.5</v>
      </c>
      <c r="O248" s="106">
        <v>2.31</v>
      </c>
      <c r="P248" s="106">
        <v>0</v>
      </c>
      <c r="Q248" s="106">
        <v>0</v>
      </c>
      <c r="R248" s="106">
        <v>1</v>
      </c>
      <c r="S248" s="106">
        <v>1</v>
      </c>
      <c r="T248" s="106">
        <v>2</v>
      </c>
      <c r="U248" s="106">
        <v>4.694</v>
      </c>
      <c r="V248" s="106">
        <v>0</v>
      </c>
      <c r="W248" s="106">
        <v>0</v>
      </c>
      <c r="X248" s="106">
        <v>0</v>
      </c>
      <c r="Y248" s="106">
        <v>0</v>
      </c>
      <c r="Z248" s="106">
        <v>0</v>
      </c>
      <c r="AA248" s="106">
        <v>0</v>
      </c>
      <c r="AB248" s="106">
        <v>0</v>
      </c>
      <c r="AC248" s="106">
        <v>0</v>
      </c>
      <c r="AD248" s="19">
        <v>0</v>
      </c>
    </row>
    <row r="249" spans="1:30" x14ac:dyDescent="0.2">
      <c r="A249" s="19" t="s">
        <v>388</v>
      </c>
      <c r="B249" s="19" t="s">
        <v>390</v>
      </c>
      <c r="C249" s="20">
        <v>1425942.54</v>
      </c>
      <c r="D249" s="20">
        <v>383461.64299999998</v>
      </c>
      <c r="E249" s="20">
        <v>406630.0147</v>
      </c>
      <c r="F249" s="20">
        <v>0</v>
      </c>
      <c r="G249" s="20">
        <v>2216034.1976999999</v>
      </c>
      <c r="H249" s="19" t="s">
        <v>122</v>
      </c>
      <c r="I249" s="106">
        <v>14.468</v>
      </c>
      <c r="J249" s="106">
        <v>0</v>
      </c>
      <c r="K249" s="106">
        <v>0</v>
      </c>
      <c r="L249" s="106">
        <v>6.2</v>
      </c>
      <c r="M249" s="106">
        <v>2.98</v>
      </c>
      <c r="N249" s="106">
        <v>0.83</v>
      </c>
      <c r="O249" s="106">
        <v>0.38</v>
      </c>
      <c r="P249" s="106">
        <v>0</v>
      </c>
      <c r="Q249" s="106">
        <v>0</v>
      </c>
      <c r="R249" s="106">
        <v>1</v>
      </c>
      <c r="S249" s="106">
        <v>0</v>
      </c>
      <c r="T249" s="106">
        <v>1</v>
      </c>
      <c r="U249" s="106">
        <v>2.0780000000000003</v>
      </c>
      <c r="V249" s="106">
        <v>0</v>
      </c>
      <c r="W249" s="106">
        <v>0</v>
      </c>
      <c r="X249" s="106">
        <v>0</v>
      </c>
      <c r="Y249" s="106">
        <v>0</v>
      </c>
      <c r="Z249" s="106">
        <v>0</v>
      </c>
      <c r="AA249" s="106">
        <v>0</v>
      </c>
      <c r="AB249" s="106">
        <v>0</v>
      </c>
      <c r="AC249" s="106">
        <v>0</v>
      </c>
      <c r="AD249" s="19">
        <v>0</v>
      </c>
    </row>
    <row r="250" spans="1:30" x14ac:dyDescent="0.2">
      <c r="A250" s="19" t="s">
        <v>388</v>
      </c>
      <c r="B250" s="19" t="s">
        <v>388</v>
      </c>
      <c r="C250" s="20">
        <v>4569416.96</v>
      </c>
      <c r="D250" s="20">
        <v>1109250.2228999999</v>
      </c>
      <c r="E250" s="20">
        <v>1198748.9176</v>
      </c>
      <c r="F250" s="20">
        <v>685795.57889999996</v>
      </c>
      <c r="G250" s="20">
        <v>7563211.6793999998</v>
      </c>
      <c r="H250" s="19" t="s">
        <v>122</v>
      </c>
      <c r="I250" s="106">
        <v>46.631999999999991</v>
      </c>
      <c r="J250" s="106">
        <v>5.3722133333333337</v>
      </c>
      <c r="K250" s="106">
        <v>10.43</v>
      </c>
      <c r="L250" s="106">
        <v>10.15</v>
      </c>
      <c r="M250" s="106">
        <v>7.26</v>
      </c>
      <c r="N250" s="106">
        <v>3.33</v>
      </c>
      <c r="O250" s="106">
        <v>2.69</v>
      </c>
      <c r="P250" s="106">
        <v>0</v>
      </c>
      <c r="Q250" s="106">
        <v>0</v>
      </c>
      <c r="R250" s="106">
        <v>2</v>
      </c>
      <c r="S250" s="106">
        <v>1</v>
      </c>
      <c r="T250" s="106">
        <v>3</v>
      </c>
      <c r="U250" s="106">
        <v>6.7720000000000002</v>
      </c>
      <c r="V250" s="106">
        <v>1</v>
      </c>
      <c r="W250" s="106">
        <v>1</v>
      </c>
      <c r="X250" s="106">
        <v>0</v>
      </c>
      <c r="Y250" s="106">
        <v>0</v>
      </c>
      <c r="Z250" s="106">
        <v>0.31087999999999993</v>
      </c>
      <c r="AA250" s="106">
        <v>1</v>
      </c>
      <c r="AB250" s="106">
        <v>1</v>
      </c>
      <c r="AC250" s="106">
        <v>6.133333333333333E-2</v>
      </c>
      <c r="AD250" s="19">
        <v>1</v>
      </c>
    </row>
    <row r="251" spans="1:30" x14ac:dyDescent="0.2">
      <c r="A251" s="19" t="s">
        <v>391</v>
      </c>
      <c r="B251" s="19" t="s">
        <v>392</v>
      </c>
      <c r="C251" s="20">
        <v>2466894.2200000002</v>
      </c>
      <c r="D251" s="20">
        <v>664297.02350000001</v>
      </c>
      <c r="E251" s="20">
        <v>666294.31740000006</v>
      </c>
      <c r="F251" s="20">
        <v>0</v>
      </c>
      <c r="G251" s="20">
        <v>3797485.5608999999</v>
      </c>
      <c r="H251" s="19" t="s">
        <v>122</v>
      </c>
      <c r="I251" s="106">
        <v>25.524000000000001</v>
      </c>
      <c r="J251" s="106">
        <v>0</v>
      </c>
      <c r="K251" s="106">
        <v>12.84</v>
      </c>
      <c r="L251" s="106">
        <v>0</v>
      </c>
      <c r="M251" s="106">
        <v>1.07</v>
      </c>
      <c r="N251" s="106">
        <v>2.17</v>
      </c>
      <c r="O251" s="106">
        <v>2.69</v>
      </c>
      <c r="P251" s="106">
        <v>0</v>
      </c>
      <c r="Q251" s="106">
        <v>0</v>
      </c>
      <c r="R251" s="106">
        <v>1</v>
      </c>
      <c r="S251" s="106">
        <v>0</v>
      </c>
      <c r="T251" s="106">
        <v>2</v>
      </c>
      <c r="U251" s="106">
        <v>3.754</v>
      </c>
      <c r="V251" s="106">
        <v>0</v>
      </c>
      <c r="W251" s="106">
        <v>0</v>
      </c>
      <c r="X251" s="106">
        <v>0</v>
      </c>
      <c r="Y251" s="106">
        <v>0</v>
      </c>
      <c r="Z251" s="106">
        <v>0</v>
      </c>
      <c r="AA251" s="106">
        <v>0</v>
      </c>
      <c r="AB251" s="106">
        <v>0</v>
      </c>
      <c r="AC251" s="106">
        <v>0</v>
      </c>
      <c r="AD251" s="19">
        <v>0</v>
      </c>
    </row>
    <row r="252" spans="1:30" x14ac:dyDescent="0.2">
      <c r="A252" s="19" t="s">
        <v>391</v>
      </c>
      <c r="B252" s="19" t="s">
        <v>393</v>
      </c>
      <c r="C252" s="20">
        <v>1233247.92</v>
      </c>
      <c r="D252" s="20">
        <v>337671.11229999998</v>
      </c>
      <c r="E252" s="20">
        <v>346873.47710000002</v>
      </c>
      <c r="F252" s="20">
        <v>0</v>
      </c>
      <c r="G252" s="20">
        <v>1917792.5094000001</v>
      </c>
      <c r="H252" s="19" t="s">
        <v>122</v>
      </c>
      <c r="I252" s="106">
        <v>12.463999999999999</v>
      </c>
      <c r="J252" s="106">
        <v>0</v>
      </c>
      <c r="K252" s="106">
        <v>0</v>
      </c>
      <c r="L252" s="106">
        <v>5.2</v>
      </c>
      <c r="M252" s="106">
        <v>1.31</v>
      </c>
      <c r="N252" s="106">
        <v>0.67</v>
      </c>
      <c r="O252" s="106">
        <v>1.54</v>
      </c>
      <c r="P252" s="106">
        <v>0</v>
      </c>
      <c r="Q252" s="106">
        <v>0</v>
      </c>
      <c r="R252" s="106">
        <v>1</v>
      </c>
      <c r="S252" s="106">
        <v>0</v>
      </c>
      <c r="T252" s="106">
        <v>1</v>
      </c>
      <c r="U252" s="106">
        <v>1.7440000000000002</v>
      </c>
      <c r="V252" s="106">
        <v>0</v>
      </c>
      <c r="W252" s="106">
        <v>0</v>
      </c>
      <c r="X252" s="106">
        <v>0</v>
      </c>
      <c r="Y252" s="106">
        <v>0</v>
      </c>
      <c r="Z252" s="106">
        <v>0</v>
      </c>
      <c r="AA252" s="106">
        <v>0</v>
      </c>
      <c r="AB252" s="106">
        <v>0</v>
      </c>
      <c r="AC252" s="106">
        <v>0</v>
      </c>
      <c r="AD252" s="19">
        <v>0</v>
      </c>
    </row>
    <row r="253" spans="1:30" x14ac:dyDescent="0.2">
      <c r="A253" s="19" t="s">
        <v>391</v>
      </c>
      <c r="B253" s="19" t="s">
        <v>394</v>
      </c>
      <c r="C253" s="20">
        <v>1745561.76</v>
      </c>
      <c r="D253" s="20">
        <v>407879.95740000001</v>
      </c>
      <c r="E253" s="20">
        <v>462508.78610000003</v>
      </c>
      <c r="F253" s="20">
        <v>0</v>
      </c>
      <c r="G253" s="20">
        <v>2615950.5035000001</v>
      </c>
      <c r="H253" s="19" t="s">
        <v>122</v>
      </c>
      <c r="I253" s="106">
        <v>17.792000000000002</v>
      </c>
      <c r="J253" s="106">
        <v>0</v>
      </c>
      <c r="K253" s="106">
        <v>0</v>
      </c>
      <c r="L253" s="106">
        <v>7.05</v>
      </c>
      <c r="M253" s="106">
        <v>2.86</v>
      </c>
      <c r="N253" s="106">
        <v>1.33</v>
      </c>
      <c r="O253" s="106">
        <v>1.92</v>
      </c>
      <c r="P253" s="106">
        <v>0</v>
      </c>
      <c r="Q253" s="106">
        <v>0</v>
      </c>
      <c r="R253" s="106">
        <v>1</v>
      </c>
      <c r="S253" s="106">
        <v>0</v>
      </c>
      <c r="T253" s="106">
        <v>1</v>
      </c>
      <c r="U253" s="106">
        <v>2.6320000000000001</v>
      </c>
      <c r="V253" s="106">
        <v>0</v>
      </c>
      <c r="W253" s="106">
        <v>0</v>
      </c>
      <c r="X253" s="106">
        <v>0</v>
      </c>
      <c r="Y253" s="106">
        <v>0</v>
      </c>
      <c r="Z253" s="106">
        <v>0</v>
      </c>
      <c r="AA253" s="106">
        <v>0</v>
      </c>
      <c r="AB253" s="106">
        <v>0</v>
      </c>
      <c r="AC253" s="106">
        <v>0</v>
      </c>
      <c r="AD253" s="19">
        <v>0</v>
      </c>
    </row>
    <row r="254" spans="1:30" x14ac:dyDescent="0.2">
      <c r="A254" s="19" t="s">
        <v>391</v>
      </c>
      <c r="B254" s="19" t="s">
        <v>391</v>
      </c>
      <c r="C254" s="20">
        <v>5445703.9000000004</v>
      </c>
      <c r="D254" s="20">
        <v>1409848.0932</v>
      </c>
      <c r="E254" s="20">
        <v>1475676.5806</v>
      </c>
      <c r="F254" s="20">
        <v>693989.48239999998</v>
      </c>
      <c r="G254" s="20">
        <v>9025218.0560999997</v>
      </c>
      <c r="H254" s="19" t="s">
        <v>122</v>
      </c>
      <c r="I254" s="106">
        <v>55.78</v>
      </c>
      <c r="J254" s="106">
        <v>5.4436</v>
      </c>
      <c r="K254" s="106">
        <v>12.84</v>
      </c>
      <c r="L254" s="106">
        <v>12.25</v>
      </c>
      <c r="M254" s="106">
        <v>5.24</v>
      </c>
      <c r="N254" s="106">
        <v>4.17</v>
      </c>
      <c r="O254" s="106">
        <v>6.15</v>
      </c>
      <c r="P254" s="106">
        <v>0</v>
      </c>
      <c r="Q254" s="106">
        <v>0</v>
      </c>
      <c r="R254" s="106">
        <v>3</v>
      </c>
      <c r="S254" s="106">
        <v>0</v>
      </c>
      <c r="T254" s="106">
        <v>4</v>
      </c>
      <c r="U254" s="106">
        <v>8.1300000000000008</v>
      </c>
      <c r="V254" s="106">
        <v>1</v>
      </c>
      <c r="W254" s="106">
        <v>1</v>
      </c>
      <c r="X254" s="106">
        <v>0</v>
      </c>
      <c r="Y254" s="106">
        <v>0</v>
      </c>
      <c r="Z254" s="106">
        <v>0.37186666666666668</v>
      </c>
      <c r="AA254" s="106">
        <v>1</v>
      </c>
      <c r="AB254" s="106">
        <v>1</v>
      </c>
      <c r="AC254" s="106">
        <v>7.173333333333333E-2</v>
      </c>
      <c r="AD254" s="19">
        <v>1</v>
      </c>
    </row>
    <row r="255" spans="1:30" x14ac:dyDescent="0.2">
      <c r="A255" s="19" t="s">
        <v>395</v>
      </c>
      <c r="B255" s="19" t="s">
        <v>395</v>
      </c>
      <c r="C255" s="20">
        <v>3943269.36</v>
      </c>
      <c r="D255" s="20">
        <v>280166.72480000003</v>
      </c>
      <c r="E255" s="20">
        <v>625358.7365</v>
      </c>
      <c r="F255" s="20">
        <v>680731.54500000004</v>
      </c>
      <c r="G255" s="20">
        <v>5529526.3663999997</v>
      </c>
      <c r="H255" s="19" t="s">
        <v>122</v>
      </c>
      <c r="I255" s="106">
        <v>40.712000000000003</v>
      </c>
      <c r="J255" s="106">
        <v>5.3279466666666666</v>
      </c>
      <c r="K255" s="106">
        <v>0</v>
      </c>
      <c r="L255" s="106">
        <v>17</v>
      </c>
      <c r="M255" s="106">
        <v>6.9</v>
      </c>
      <c r="N255" s="106">
        <v>3.17</v>
      </c>
      <c r="O255" s="106">
        <v>2.69</v>
      </c>
      <c r="P255" s="106">
        <v>0</v>
      </c>
      <c r="Q255" s="106">
        <v>0</v>
      </c>
      <c r="R255" s="106">
        <v>1</v>
      </c>
      <c r="S255" s="106">
        <v>1</v>
      </c>
      <c r="T255" s="106">
        <v>3</v>
      </c>
      <c r="U255" s="106">
        <v>5.9520000000000008</v>
      </c>
      <c r="V255" s="106">
        <v>1</v>
      </c>
      <c r="W255" s="106">
        <v>1</v>
      </c>
      <c r="X255" s="106">
        <v>0</v>
      </c>
      <c r="Y255" s="106">
        <v>0</v>
      </c>
      <c r="Z255" s="106">
        <v>0.27141333333333334</v>
      </c>
      <c r="AA255" s="106">
        <v>1</v>
      </c>
      <c r="AB255" s="106">
        <v>1</v>
      </c>
      <c r="AC255" s="106">
        <v>5.6533333333333331E-2</v>
      </c>
      <c r="AD255" s="19">
        <v>1</v>
      </c>
    </row>
    <row r="256" spans="1:30" x14ac:dyDescent="0.2">
      <c r="A256" s="19" t="s">
        <v>396</v>
      </c>
      <c r="B256" s="19" t="s">
        <v>397</v>
      </c>
      <c r="C256" s="20">
        <v>4659024.83</v>
      </c>
      <c r="D256" s="20">
        <v>171819.74160000001</v>
      </c>
      <c r="E256" s="20">
        <v>570502.13769999996</v>
      </c>
      <c r="F256" s="20">
        <v>0</v>
      </c>
      <c r="G256" s="20">
        <v>5401346.7093000002</v>
      </c>
      <c r="H256" s="19" t="s">
        <v>122</v>
      </c>
      <c r="I256" s="106">
        <v>48.386000000000003</v>
      </c>
      <c r="J256" s="106">
        <v>0</v>
      </c>
      <c r="K256" s="106">
        <v>16.850000000000001</v>
      </c>
      <c r="L256" s="106">
        <v>9.25</v>
      </c>
      <c r="M256" s="106">
        <v>4.4000000000000004</v>
      </c>
      <c r="N256" s="106">
        <v>3.67</v>
      </c>
      <c r="O256" s="106">
        <v>1.1499999999999999</v>
      </c>
      <c r="P256" s="106">
        <v>0</v>
      </c>
      <c r="Q256" s="106">
        <v>0</v>
      </c>
      <c r="R256" s="106">
        <v>1</v>
      </c>
      <c r="S256" s="106">
        <v>1</v>
      </c>
      <c r="T256" s="106">
        <v>4</v>
      </c>
      <c r="U256" s="106">
        <v>7.0659999999999998</v>
      </c>
      <c r="V256" s="106">
        <v>0</v>
      </c>
      <c r="W256" s="106">
        <v>0</v>
      </c>
      <c r="X256" s="106">
        <v>0</v>
      </c>
      <c r="Y256" s="106">
        <v>0</v>
      </c>
      <c r="Z256" s="106">
        <v>0</v>
      </c>
      <c r="AA256" s="106">
        <v>0</v>
      </c>
      <c r="AB256" s="106">
        <v>0</v>
      </c>
      <c r="AC256" s="106">
        <v>0</v>
      </c>
      <c r="AD256" s="19">
        <v>0</v>
      </c>
    </row>
    <row r="257" spans="1:30" x14ac:dyDescent="0.2">
      <c r="A257" s="19" t="s">
        <v>396</v>
      </c>
      <c r="B257" s="19" t="s">
        <v>398</v>
      </c>
      <c r="C257" s="20">
        <v>1288440.8899999999</v>
      </c>
      <c r="D257" s="20">
        <v>46805.896699999998</v>
      </c>
      <c r="E257" s="20">
        <v>168544.9123</v>
      </c>
      <c r="F257" s="20">
        <v>0</v>
      </c>
      <c r="G257" s="20">
        <v>1503791.6991000001</v>
      </c>
      <c r="H257" s="19" t="s">
        <v>122</v>
      </c>
      <c r="I257" s="106">
        <v>13.038</v>
      </c>
      <c r="J257" s="106">
        <v>0</v>
      </c>
      <c r="K257" s="106">
        <v>0</v>
      </c>
      <c r="L257" s="106">
        <v>5</v>
      </c>
      <c r="M257" s="106">
        <v>2.2599999999999998</v>
      </c>
      <c r="N257" s="106">
        <v>1.17</v>
      </c>
      <c r="O257" s="106">
        <v>0.77</v>
      </c>
      <c r="P257" s="106">
        <v>0</v>
      </c>
      <c r="Q257" s="106">
        <v>0</v>
      </c>
      <c r="R257" s="106">
        <v>1</v>
      </c>
      <c r="S257" s="106">
        <v>0</v>
      </c>
      <c r="T257" s="106">
        <v>1</v>
      </c>
      <c r="U257" s="106">
        <v>1.8380000000000001</v>
      </c>
      <c r="V257" s="106">
        <v>0</v>
      </c>
      <c r="W257" s="106">
        <v>0</v>
      </c>
      <c r="X257" s="106">
        <v>0</v>
      </c>
      <c r="Y257" s="106">
        <v>0</v>
      </c>
      <c r="Z257" s="106">
        <v>0</v>
      </c>
      <c r="AA257" s="106">
        <v>0</v>
      </c>
      <c r="AB257" s="106">
        <v>0</v>
      </c>
      <c r="AC257" s="106">
        <v>0</v>
      </c>
      <c r="AD257" s="19">
        <v>0</v>
      </c>
    </row>
    <row r="258" spans="1:30" x14ac:dyDescent="0.2">
      <c r="A258" s="19" t="s">
        <v>396</v>
      </c>
      <c r="B258" s="19" t="s">
        <v>396</v>
      </c>
      <c r="C258" s="20">
        <v>5947465.7199999997</v>
      </c>
      <c r="D258" s="20">
        <v>218625.6384</v>
      </c>
      <c r="E258" s="20">
        <v>739047.05</v>
      </c>
      <c r="F258" s="20">
        <v>700064.4007</v>
      </c>
      <c r="G258" s="20">
        <v>7605202.8090000004</v>
      </c>
      <c r="H258" s="19" t="s">
        <v>122</v>
      </c>
      <c r="I258" s="106">
        <v>61.424000000000007</v>
      </c>
      <c r="J258" s="106">
        <v>5.495893333333334</v>
      </c>
      <c r="K258" s="106">
        <v>16.850000000000001</v>
      </c>
      <c r="L258" s="106">
        <v>14.25</v>
      </c>
      <c r="M258" s="106">
        <v>6.67</v>
      </c>
      <c r="N258" s="106">
        <v>4.83</v>
      </c>
      <c r="O258" s="106">
        <v>1.92</v>
      </c>
      <c r="P258" s="106">
        <v>0</v>
      </c>
      <c r="Q258" s="106">
        <v>0</v>
      </c>
      <c r="R258" s="106">
        <v>2</v>
      </c>
      <c r="S258" s="106">
        <v>1</v>
      </c>
      <c r="T258" s="106">
        <v>5</v>
      </c>
      <c r="U258" s="106">
        <v>8.9039999999999999</v>
      </c>
      <c r="V258" s="106">
        <v>1</v>
      </c>
      <c r="W258" s="106">
        <v>1</v>
      </c>
      <c r="X258" s="106">
        <v>0</v>
      </c>
      <c r="Y258" s="106">
        <v>0</v>
      </c>
      <c r="Z258" s="106">
        <v>0.40949333333333338</v>
      </c>
      <c r="AA258" s="106">
        <v>1</v>
      </c>
      <c r="AB258" s="106">
        <v>1</v>
      </c>
      <c r="AC258" s="106">
        <v>8.6400000000000005E-2</v>
      </c>
      <c r="AD258" s="19">
        <v>1</v>
      </c>
    </row>
    <row r="259" spans="1:30" x14ac:dyDescent="0.2">
      <c r="A259" s="19" t="s">
        <v>399</v>
      </c>
      <c r="B259" s="19" t="s">
        <v>399</v>
      </c>
      <c r="C259" s="20">
        <v>3994039.2</v>
      </c>
      <c r="D259" s="20">
        <v>642677.15689999994</v>
      </c>
      <c r="E259" s="20">
        <v>887521.68350000004</v>
      </c>
      <c r="F259" s="20">
        <v>680240.52049999998</v>
      </c>
      <c r="G259" s="20">
        <v>6204478.5608999999</v>
      </c>
      <c r="H259" s="19" t="s">
        <v>122</v>
      </c>
      <c r="I259" s="106">
        <v>41.239999999999995</v>
      </c>
      <c r="J259" s="106">
        <v>5.3242666666666665</v>
      </c>
      <c r="K259" s="106">
        <v>0</v>
      </c>
      <c r="L259" s="106">
        <v>12.85</v>
      </c>
      <c r="M259" s="106">
        <v>8.1</v>
      </c>
      <c r="N259" s="106">
        <v>6.17</v>
      </c>
      <c r="O259" s="106">
        <v>3.08</v>
      </c>
      <c r="P259" s="106">
        <v>0</v>
      </c>
      <c r="Q259" s="106">
        <v>0</v>
      </c>
      <c r="R259" s="106">
        <v>1</v>
      </c>
      <c r="S259" s="106">
        <v>1</v>
      </c>
      <c r="T259" s="106">
        <v>3</v>
      </c>
      <c r="U259" s="106">
        <v>6.04</v>
      </c>
      <c r="V259" s="106">
        <v>1</v>
      </c>
      <c r="W259" s="106">
        <v>1</v>
      </c>
      <c r="X259" s="106">
        <v>0</v>
      </c>
      <c r="Y259" s="106">
        <v>0</v>
      </c>
      <c r="Z259" s="106">
        <v>0.27493333333333331</v>
      </c>
      <c r="AA259" s="106">
        <v>1</v>
      </c>
      <c r="AB259" s="106">
        <v>1</v>
      </c>
      <c r="AC259" s="106">
        <v>4.9333333333333333E-2</v>
      </c>
      <c r="AD259" s="19">
        <v>1</v>
      </c>
    </row>
    <row r="260" spans="1:30" x14ac:dyDescent="0.2">
      <c r="A260" s="19" t="s">
        <v>400</v>
      </c>
      <c r="B260" s="19" t="s">
        <v>401</v>
      </c>
      <c r="C260" s="20">
        <v>1610560.14</v>
      </c>
      <c r="D260" s="20">
        <v>184177.489</v>
      </c>
      <c r="E260" s="20">
        <v>292714.55170000001</v>
      </c>
      <c r="F260" s="20">
        <v>0</v>
      </c>
      <c r="G260" s="20">
        <v>2087452.1806000001</v>
      </c>
      <c r="H260" s="19" t="s">
        <v>122</v>
      </c>
      <c r="I260" s="106">
        <v>16.388000000000002</v>
      </c>
      <c r="J260" s="106">
        <v>0</v>
      </c>
      <c r="K260" s="106">
        <v>4.07</v>
      </c>
      <c r="L260" s="106">
        <v>0.9</v>
      </c>
      <c r="M260" s="106">
        <v>2.38</v>
      </c>
      <c r="N260" s="106">
        <v>2.33</v>
      </c>
      <c r="O260" s="106">
        <v>2.31</v>
      </c>
      <c r="P260" s="106">
        <v>0</v>
      </c>
      <c r="Q260" s="106">
        <v>0</v>
      </c>
      <c r="R260" s="106">
        <v>1</v>
      </c>
      <c r="S260" s="106">
        <v>0</v>
      </c>
      <c r="T260" s="106">
        <v>1</v>
      </c>
      <c r="U260" s="106">
        <v>2.3980000000000001</v>
      </c>
      <c r="V260" s="106">
        <v>0</v>
      </c>
      <c r="W260" s="106">
        <v>0</v>
      </c>
      <c r="X260" s="106">
        <v>0</v>
      </c>
      <c r="Y260" s="106">
        <v>0</v>
      </c>
      <c r="Z260" s="106">
        <v>0</v>
      </c>
      <c r="AA260" s="106">
        <v>0</v>
      </c>
      <c r="AB260" s="106">
        <v>0</v>
      </c>
      <c r="AC260" s="106">
        <v>0</v>
      </c>
      <c r="AD260" s="19">
        <v>0</v>
      </c>
    </row>
    <row r="261" spans="1:30" x14ac:dyDescent="0.2">
      <c r="A261" s="19" t="s">
        <v>400</v>
      </c>
      <c r="B261" s="19" t="s">
        <v>402</v>
      </c>
      <c r="C261" s="20">
        <v>1314018.1200000001</v>
      </c>
      <c r="D261" s="20">
        <v>162805.2726</v>
      </c>
      <c r="E261" s="20">
        <v>259372.25339999999</v>
      </c>
      <c r="F261" s="20">
        <v>0</v>
      </c>
      <c r="G261" s="20">
        <v>1736195.6459999999</v>
      </c>
      <c r="H261" s="19" t="s">
        <v>122</v>
      </c>
      <c r="I261" s="106">
        <v>13.304</v>
      </c>
      <c r="J261" s="106">
        <v>0</v>
      </c>
      <c r="K261" s="106">
        <v>0</v>
      </c>
      <c r="L261" s="106">
        <v>2.0499999999999998</v>
      </c>
      <c r="M261" s="106">
        <v>3.45</v>
      </c>
      <c r="N261" s="106">
        <v>2</v>
      </c>
      <c r="O261" s="106">
        <v>1.92</v>
      </c>
      <c r="P261" s="106">
        <v>0</v>
      </c>
      <c r="Q261" s="106">
        <v>0</v>
      </c>
      <c r="R261" s="106">
        <v>1</v>
      </c>
      <c r="S261" s="106">
        <v>0</v>
      </c>
      <c r="T261" s="106">
        <v>1</v>
      </c>
      <c r="U261" s="106">
        <v>1.8840000000000001</v>
      </c>
      <c r="V261" s="106">
        <v>0</v>
      </c>
      <c r="W261" s="106">
        <v>0</v>
      </c>
      <c r="X261" s="106">
        <v>0</v>
      </c>
      <c r="Y261" s="106">
        <v>0</v>
      </c>
      <c r="Z261" s="106">
        <v>0</v>
      </c>
      <c r="AA261" s="106">
        <v>0</v>
      </c>
      <c r="AB261" s="106">
        <v>0</v>
      </c>
      <c r="AC261" s="106">
        <v>0</v>
      </c>
      <c r="AD261" s="19">
        <v>0</v>
      </c>
    </row>
    <row r="262" spans="1:30" x14ac:dyDescent="0.2">
      <c r="A262" s="19" t="s">
        <v>400</v>
      </c>
      <c r="B262" s="19" t="s">
        <v>400</v>
      </c>
      <c r="C262" s="20">
        <v>2924578.26</v>
      </c>
      <c r="D262" s="20">
        <v>346982.76160000003</v>
      </c>
      <c r="E262" s="20">
        <v>552086.8051</v>
      </c>
      <c r="F262" s="20">
        <v>668899.44629999995</v>
      </c>
      <c r="G262" s="20">
        <v>4492547.2729000002</v>
      </c>
      <c r="H262" s="19" t="s">
        <v>122</v>
      </c>
      <c r="I262" s="106">
        <v>29.692</v>
      </c>
      <c r="J262" s="106">
        <v>5.2260799999999996</v>
      </c>
      <c r="K262" s="106">
        <v>4.07</v>
      </c>
      <c r="L262" s="106">
        <v>2.95</v>
      </c>
      <c r="M262" s="106">
        <v>5.83</v>
      </c>
      <c r="N262" s="106">
        <v>4.33</v>
      </c>
      <c r="O262" s="106">
        <v>4.2300000000000004</v>
      </c>
      <c r="P262" s="106">
        <v>0</v>
      </c>
      <c r="Q262" s="106">
        <v>0</v>
      </c>
      <c r="R262" s="106">
        <v>2</v>
      </c>
      <c r="S262" s="106">
        <v>0</v>
      </c>
      <c r="T262" s="106">
        <v>2</v>
      </c>
      <c r="U262" s="106">
        <v>4.282</v>
      </c>
      <c r="V262" s="106">
        <v>1</v>
      </c>
      <c r="W262" s="106">
        <v>1</v>
      </c>
      <c r="X262" s="106">
        <v>0</v>
      </c>
      <c r="Y262" s="106">
        <v>0</v>
      </c>
      <c r="Z262" s="106">
        <v>0.19794666666666666</v>
      </c>
      <c r="AA262" s="106">
        <v>1</v>
      </c>
      <c r="AB262" s="106">
        <v>1</v>
      </c>
      <c r="AC262" s="106">
        <v>2.8133333333333333E-2</v>
      </c>
      <c r="AD262" s="19">
        <v>1</v>
      </c>
    </row>
    <row r="263" spans="1:30" x14ac:dyDescent="0.2">
      <c r="A263" s="19" t="s">
        <v>403</v>
      </c>
      <c r="B263" s="19" t="s">
        <v>403</v>
      </c>
      <c r="C263" s="20">
        <v>1961333.58</v>
      </c>
      <c r="D263" s="20">
        <v>302504.77710000001</v>
      </c>
      <c r="E263" s="20">
        <v>448474.19339999999</v>
      </c>
      <c r="F263" s="20">
        <v>660453.71429999999</v>
      </c>
      <c r="G263" s="20">
        <v>3372766.2648</v>
      </c>
      <c r="H263" s="19" t="s">
        <v>122</v>
      </c>
      <c r="I263" s="106">
        <v>20.036000000000001</v>
      </c>
      <c r="J263" s="106">
        <v>5.1523733333333332</v>
      </c>
      <c r="K263" s="106">
        <v>0</v>
      </c>
      <c r="L263" s="106">
        <v>4</v>
      </c>
      <c r="M263" s="106">
        <v>2.74</v>
      </c>
      <c r="N263" s="106">
        <v>4.83</v>
      </c>
      <c r="O263" s="106">
        <v>3.46</v>
      </c>
      <c r="P263" s="106">
        <v>0</v>
      </c>
      <c r="Q263" s="106">
        <v>0</v>
      </c>
      <c r="R263" s="106">
        <v>1</v>
      </c>
      <c r="S263" s="106">
        <v>0</v>
      </c>
      <c r="T263" s="106">
        <v>1</v>
      </c>
      <c r="U263" s="106">
        <v>3.0060000000000002</v>
      </c>
      <c r="V263" s="106">
        <v>1</v>
      </c>
      <c r="W263" s="106">
        <v>1</v>
      </c>
      <c r="X263" s="106">
        <v>0</v>
      </c>
      <c r="Y263" s="106">
        <v>0</v>
      </c>
      <c r="Z263" s="106">
        <v>0.13357333333333335</v>
      </c>
      <c r="AA263" s="106">
        <v>1</v>
      </c>
      <c r="AB263" s="106">
        <v>1</v>
      </c>
      <c r="AC263" s="106">
        <v>1.8800000000000001E-2</v>
      </c>
      <c r="AD263" s="19">
        <v>1</v>
      </c>
    </row>
    <row r="264" spans="1:30" x14ac:dyDescent="0.2">
      <c r="A264" s="19" t="s">
        <v>404</v>
      </c>
      <c r="B264" s="19" t="s">
        <v>405</v>
      </c>
      <c r="C264" s="20">
        <v>3440186.4</v>
      </c>
      <c r="D264" s="20">
        <v>823759.01780000003</v>
      </c>
      <c r="E264" s="20">
        <v>862437.89119999995</v>
      </c>
      <c r="F264" s="20">
        <v>0</v>
      </c>
      <c r="G264" s="20">
        <v>5126383.3090000004</v>
      </c>
      <c r="H264" s="19" t="s">
        <v>122</v>
      </c>
      <c r="I264" s="106">
        <v>35.480000000000004</v>
      </c>
      <c r="J264" s="106">
        <v>0</v>
      </c>
      <c r="K264" s="106">
        <v>14.07</v>
      </c>
      <c r="L264" s="106">
        <v>5.3</v>
      </c>
      <c r="M264" s="106">
        <v>2.98</v>
      </c>
      <c r="N264" s="106">
        <v>2.67</v>
      </c>
      <c r="O264" s="106">
        <v>0.38</v>
      </c>
      <c r="P264" s="106">
        <v>0</v>
      </c>
      <c r="Q264" s="106">
        <v>0</v>
      </c>
      <c r="R264" s="106">
        <v>1</v>
      </c>
      <c r="S264" s="106">
        <v>1</v>
      </c>
      <c r="T264" s="106">
        <v>3</v>
      </c>
      <c r="U264" s="106">
        <v>5.08</v>
      </c>
      <c r="V264" s="106">
        <v>0</v>
      </c>
      <c r="W264" s="106">
        <v>0</v>
      </c>
      <c r="X264" s="106">
        <v>0</v>
      </c>
      <c r="Y264" s="106">
        <v>0</v>
      </c>
      <c r="Z264" s="106">
        <v>0</v>
      </c>
      <c r="AA264" s="106">
        <v>0</v>
      </c>
      <c r="AB264" s="106">
        <v>0</v>
      </c>
      <c r="AC264" s="106">
        <v>0</v>
      </c>
      <c r="AD264" s="19">
        <v>0</v>
      </c>
    </row>
    <row r="265" spans="1:30" x14ac:dyDescent="0.2">
      <c r="A265" s="19" t="s">
        <v>404</v>
      </c>
      <c r="B265" s="19" t="s">
        <v>406</v>
      </c>
      <c r="C265" s="20">
        <v>1885371.13</v>
      </c>
      <c r="D265" s="20">
        <v>361074.06060000003</v>
      </c>
      <c r="E265" s="20">
        <v>455532.05219999998</v>
      </c>
      <c r="F265" s="20">
        <v>0</v>
      </c>
      <c r="G265" s="20">
        <v>2701977.2428000001</v>
      </c>
      <c r="H265" s="19" t="s">
        <v>122</v>
      </c>
      <c r="I265" s="106">
        <v>19.245999999999999</v>
      </c>
      <c r="J265" s="106">
        <v>0</v>
      </c>
      <c r="K265" s="106">
        <v>0</v>
      </c>
      <c r="L265" s="106">
        <v>6.55</v>
      </c>
      <c r="M265" s="106">
        <v>3.57</v>
      </c>
      <c r="N265" s="106">
        <v>2.33</v>
      </c>
      <c r="O265" s="106">
        <v>1.92</v>
      </c>
      <c r="P265" s="106">
        <v>0</v>
      </c>
      <c r="Q265" s="106">
        <v>0</v>
      </c>
      <c r="R265" s="106">
        <v>1</v>
      </c>
      <c r="S265" s="106">
        <v>0</v>
      </c>
      <c r="T265" s="106">
        <v>1</v>
      </c>
      <c r="U265" s="106">
        <v>2.8760000000000003</v>
      </c>
      <c r="V265" s="106">
        <v>0</v>
      </c>
      <c r="W265" s="106">
        <v>0</v>
      </c>
      <c r="X265" s="106">
        <v>0</v>
      </c>
      <c r="Y265" s="106">
        <v>0</v>
      </c>
      <c r="Z265" s="106">
        <v>0</v>
      </c>
      <c r="AA265" s="106">
        <v>0</v>
      </c>
      <c r="AB265" s="106">
        <v>0</v>
      </c>
      <c r="AC265" s="106">
        <v>0</v>
      </c>
      <c r="AD265" s="19">
        <v>0</v>
      </c>
    </row>
    <row r="266" spans="1:30" x14ac:dyDescent="0.2">
      <c r="A266" s="19" t="s">
        <v>404</v>
      </c>
      <c r="B266" s="19" t="s">
        <v>404</v>
      </c>
      <c r="C266" s="20">
        <v>5326519.08</v>
      </c>
      <c r="D266" s="20">
        <v>1184833.0784</v>
      </c>
      <c r="E266" s="20">
        <v>1317969.9434</v>
      </c>
      <c r="F266" s="20">
        <v>693497.63390000002</v>
      </c>
      <c r="G266" s="20">
        <v>8522819.7357000001</v>
      </c>
      <c r="H266" s="19" t="s">
        <v>122</v>
      </c>
      <c r="I266" s="106">
        <v>54.736000000000004</v>
      </c>
      <c r="J266" s="106">
        <v>5.4390399999999994</v>
      </c>
      <c r="K266" s="106">
        <v>14.07</v>
      </c>
      <c r="L266" s="106">
        <v>11.85</v>
      </c>
      <c r="M266" s="106">
        <v>6.55</v>
      </c>
      <c r="N266" s="106">
        <v>5</v>
      </c>
      <c r="O266" s="106">
        <v>2.31</v>
      </c>
      <c r="P266" s="106">
        <v>0</v>
      </c>
      <c r="Q266" s="106">
        <v>0</v>
      </c>
      <c r="R266" s="106">
        <v>2</v>
      </c>
      <c r="S266" s="106">
        <v>1</v>
      </c>
      <c r="T266" s="106">
        <v>4</v>
      </c>
      <c r="U266" s="106">
        <v>7.9560000000000004</v>
      </c>
      <c r="V266" s="106">
        <v>1</v>
      </c>
      <c r="W266" s="106">
        <v>1</v>
      </c>
      <c r="X266" s="106">
        <v>0</v>
      </c>
      <c r="Y266" s="106">
        <v>0</v>
      </c>
      <c r="Z266" s="106">
        <v>0.36490666666666671</v>
      </c>
      <c r="AA266" s="106">
        <v>1</v>
      </c>
      <c r="AB266" s="106">
        <v>1</v>
      </c>
      <c r="AC266" s="106">
        <v>7.4133333333333329E-2</v>
      </c>
      <c r="AD266" s="19">
        <v>1</v>
      </c>
    </row>
    <row r="267" spans="1:30" x14ac:dyDescent="0.2">
      <c r="A267" s="19" t="s">
        <v>407</v>
      </c>
      <c r="B267" s="19" t="s">
        <v>408</v>
      </c>
      <c r="C267" s="20">
        <v>7019234.3799999999</v>
      </c>
      <c r="D267" s="20">
        <v>1174828.0083999999</v>
      </c>
      <c r="E267" s="20">
        <v>1490571.0963000001</v>
      </c>
      <c r="F267" s="20">
        <v>0</v>
      </c>
      <c r="G267" s="20">
        <v>9684633.4847999997</v>
      </c>
      <c r="H267" s="19" t="s">
        <v>122</v>
      </c>
      <c r="I267" s="106">
        <v>72.996000000000009</v>
      </c>
      <c r="J267" s="106">
        <v>0</v>
      </c>
      <c r="K267" s="106">
        <v>23.7</v>
      </c>
      <c r="L267" s="106">
        <v>8.9</v>
      </c>
      <c r="M267" s="106">
        <v>8.1</v>
      </c>
      <c r="N267" s="106">
        <v>9.17</v>
      </c>
      <c r="O267" s="106">
        <v>3.46</v>
      </c>
      <c r="P267" s="106">
        <v>0</v>
      </c>
      <c r="Q267" s="106">
        <v>0</v>
      </c>
      <c r="R267" s="106">
        <v>1</v>
      </c>
      <c r="S267" s="106">
        <v>2</v>
      </c>
      <c r="T267" s="106">
        <v>6</v>
      </c>
      <c r="U267" s="106">
        <v>10.666</v>
      </c>
      <c r="V267" s="106">
        <v>0</v>
      </c>
      <c r="W267" s="106">
        <v>0</v>
      </c>
      <c r="X267" s="106">
        <v>0</v>
      </c>
      <c r="Y267" s="106">
        <v>0</v>
      </c>
      <c r="Z267" s="106">
        <v>0</v>
      </c>
      <c r="AA267" s="106">
        <v>0</v>
      </c>
      <c r="AB267" s="106">
        <v>0</v>
      </c>
      <c r="AC267" s="106">
        <v>0</v>
      </c>
      <c r="AD267" s="19">
        <v>0</v>
      </c>
    </row>
    <row r="268" spans="1:30" x14ac:dyDescent="0.2">
      <c r="A268" s="19" t="s">
        <v>407</v>
      </c>
      <c r="B268" s="19" t="s">
        <v>409</v>
      </c>
      <c r="C268" s="20">
        <v>3547495.38</v>
      </c>
      <c r="D268" s="20">
        <v>628783.978</v>
      </c>
      <c r="E268" s="20">
        <v>792070.22809999995</v>
      </c>
      <c r="F268" s="20">
        <v>0</v>
      </c>
      <c r="G268" s="20">
        <v>4968349.5861</v>
      </c>
      <c r="H268" s="19" t="s">
        <v>122</v>
      </c>
      <c r="I268" s="106">
        <v>36.595999999999997</v>
      </c>
      <c r="J268" s="106">
        <v>0</v>
      </c>
      <c r="K268" s="106">
        <v>0</v>
      </c>
      <c r="L268" s="106">
        <v>17.3</v>
      </c>
      <c r="M268" s="106">
        <v>3.21</v>
      </c>
      <c r="N268" s="106">
        <v>4.67</v>
      </c>
      <c r="O268" s="106">
        <v>1.1499999999999999</v>
      </c>
      <c r="P268" s="106">
        <v>0</v>
      </c>
      <c r="Q268" s="106">
        <v>0</v>
      </c>
      <c r="R268" s="106">
        <v>1</v>
      </c>
      <c r="S268" s="106">
        <v>1</v>
      </c>
      <c r="T268" s="106">
        <v>3</v>
      </c>
      <c r="U268" s="106">
        <v>5.266</v>
      </c>
      <c r="V268" s="106">
        <v>0</v>
      </c>
      <c r="W268" s="106">
        <v>0</v>
      </c>
      <c r="X268" s="106">
        <v>0</v>
      </c>
      <c r="Y268" s="106">
        <v>0</v>
      </c>
      <c r="Z268" s="106">
        <v>0</v>
      </c>
      <c r="AA268" s="106">
        <v>0</v>
      </c>
      <c r="AB268" s="106">
        <v>0</v>
      </c>
      <c r="AC268" s="106">
        <v>0</v>
      </c>
      <c r="AD268" s="19">
        <v>0</v>
      </c>
    </row>
    <row r="269" spans="1:30" x14ac:dyDescent="0.2">
      <c r="A269" s="19" t="s">
        <v>407</v>
      </c>
      <c r="B269" s="19" t="s">
        <v>410</v>
      </c>
      <c r="C269" s="20">
        <v>3984423.7</v>
      </c>
      <c r="D269" s="20">
        <v>728463.20259999996</v>
      </c>
      <c r="E269" s="20">
        <v>937105.16940000001</v>
      </c>
      <c r="F269" s="20">
        <v>0</v>
      </c>
      <c r="G269" s="20">
        <v>5649992.0719999997</v>
      </c>
      <c r="H269" s="19" t="s">
        <v>122</v>
      </c>
      <c r="I269" s="106">
        <v>41.14</v>
      </c>
      <c r="J269" s="106">
        <v>0</v>
      </c>
      <c r="K269" s="106">
        <v>0</v>
      </c>
      <c r="L269" s="106">
        <v>14.55</v>
      </c>
      <c r="M269" s="106">
        <v>5.48</v>
      </c>
      <c r="N269" s="106">
        <v>5.5</v>
      </c>
      <c r="O269" s="106">
        <v>3.08</v>
      </c>
      <c r="P269" s="106">
        <v>-1.82</v>
      </c>
      <c r="Q269" s="106">
        <v>3.63</v>
      </c>
      <c r="R269" s="106">
        <v>1</v>
      </c>
      <c r="S269" s="106">
        <v>1</v>
      </c>
      <c r="T269" s="106">
        <v>3</v>
      </c>
      <c r="U269" s="106">
        <v>5.7200000000000006</v>
      </c>
      <c r="V269" s="106">
        <v>0</v>
      </c>
      <c r="W269" s="106">
        <v>0</v>
      </c>
      <c r="X269" s="106">
        <v>0</v>
      </c>
      <c r="Y269" s="106">
        <v>0</v>
      </c>
      <c r="Z269" s="106">
        <v>0</v>
      </c>
      <c r="AA269" s="106">
        <v>0</v>
      </c>
      <c r="AB269" s="106">
        <v>0</v>
      </c>
      <c r="AC269" s="106">
        <v>0</v>
      </c>
      <c r="AD269" s="19">
        <v>0</v>
      </c>
    </row>
    <row r="270" spans="1:30" x14ac:dyDescent="0.2">
      <c r="A270" s="19" t="s">
        <v>407</v>
      </c>
      <c r="B270" s="19" t="s">
        <v>407</v>
      </c>
      <c r="C270" s="20">
        <v>14550191.91</v>
      </c>
      <c r="D270" s="20">
        <v>2527419.3643999998</v>
      </c>
      <c r="E270" s="20">
        <v>3216696.2009000001</v>
      </c>
      <c r="F270" s="20">
        <v>781146.47640000004</v>
      </c>
      <c r="G270" s="20">
        <v>21075453.951699998</v>
      </c>
      <c r="H270" s="19" t="s">
        <v>122</v>
      </c>
      <c r="I270" s="106">
        <v>150.72199999999998</v>
      </c>
      <c r="J270" s="106">
        <v>6.2016133333333325</v>
      </c>
      <c r="K270" s="106">
        <v>23.7</v>
      </c>
      <c r="L270" s="106">
        <v>40.75</v>
      </c>
      <c r="M270" s="106">
        <v>16.79</v>
      </c>
      <c r="N270" s="106">
        <v>19.329999999999998</v>
      </c>
      <c r="O270" s="106">
        <v>7.69</v>
      </c>
      <c r="P270" s="106">
        <v>-1.82</v>
      </c>
      <c r="Q270" s="106">
        <v>3.63</v>
      </c>
      <c r="R270" s="106">
        <v>3</v>
      </c>
      <c r="S270" s="106">
        <v>4</v>
      </c>
      <c r="T270" s="106">
        <v>12</v>
      </c>
      <c r="U270" s="106">
        <v>21.652000000000001</v>
      </c>
      <c r="V270" s="106">
        <v>1</v>
      </c>
      <c r="W270" s="106">
        <v>1</v>
      </c>
      <c r="X270" s="106">
        <v>0</v>
      </c>
      <c r="Y270" s="106">
        <v>0</v>
      </c>
      <c r="Z270" s="106">
        <v>1.0048133333333331</v>
      </c>
      <c r="AA270" s="106">
        <v>1</v>
      </c>
      <c r="AB270" s="106">
        <v>1</v>
      </c>
      <c r="AC270" s="106">
        <v>0.1968</v>
      </c>
      <c r="AD270" s="19">
        <v>1</v>
      </c>
    </row>
    <row r="271" spans="1:30" x14ac:dyDescent="0.2">
      <c r="A271" s="19" t="s">
        <v>411</v>
      </c>
      <c r="B271" s="19" t="s">
        <v>412</v>
      </c>
      <c r="C271" s="20">
        <v>4134040.88</v>
      </c>
      <c r="D271" s="20">
        <v>169244.179</v>
      </c>
      <c r="E271" s="20">
        <v>509528.728</v>
      </c>
      <c r="F271" s="20">
        <v>0</v>
      </c>
      <c r="G271" s="20">
        <v>4812813.7869999995</v>
      </c>
      <c r="H271" s="19" t="s">
        <v>122</v>
      </c>
      <c r="I271" s="106">
        <v>42.696000000000005</v>
      </c>
      <c r="J271" s="106">
        <v>0</v>
      </c>
      <c r="K271" s="106">
        <v>16.850000000000001</v>
      </c>
      <c r="L271" s="106">
        <v>6.6</v>
      </c>
      <c r="M271" s="106">
        <v>3.21</v>
      </c>
      <c r="N271" s="106">
        <v>2.83</v>
      </c>
      <c r="O271" s="106">
        <v>1.92</v>
      </c>
      <c r="P271" s="106">
        <v>0</v>
      </c>
      <c r="Q271" s="106">
        <v>0</v>
      </c>
      <c r="R271" s="106">
        <v>1</v>
      </c>
      <c r="S271" s="106">
        <v>1</v>
      </c>
      <c r="T271" s="106">
        <v>3</v>
      </c>
      <c r="U271" s="106">
        <v>6.2860000000000005</v>
      </c>
      <c r="V271" s="106">
        <v>0</v>
      </c>
      <c r="W271" s="106">
        <v>0</v>
      </c>
      <c r="X271" s="106">
        <v>0</v>
      </c>
      <c r="Y271" s="106">
        <v>0</v>
      </c>
      <c r="Z271" s="106">
        <v>0</v>
      </c>
      <c r="AA271" s="106">
        <v>0</v>
      </c>
      <c r="AB271" s="106">
        <v>0</v>
      </c>
      <c r="AC271" s="106">
        <v>0</v>
      </c>
      <c r="AD271" s="19">
        <v>0</v>
      </c>
    </row>
    <row r="272" spans="1:30" x14ac:dyDescent="0.2">
      <c r="A272" s="19" t="s">
        <v>411</v>
      </c>
      <c r="B272" s="19" t="s">
        <v>413</v>
      </c>
      <c r="C272" s="20">
        <v>1865563.2</v>
      </c>
      <c r="D272" s="20">
        <v>91754.416599999997</v>
      </c>
      <c r="E272" s="20">
        <v>269318.15549999999</v>
      </c>
      <c r="F272" s="20">
        <v>0</v>
      </c>
      <c r="G272" s="20">
        <v>2226635.7722</v>
      </c>
      <c r="H272" s="19" t="s">
        <v>122</v>
      </c>
      <c r="I272" s="106">
        <v>19.040000000000003</v>
      </c>
      <c r="J272" s="106">
        <v>0</v>
      </c>
      <c r="K272" s="106">
        <v>0</v>
      </c>
      <c r="L272" s="106">
        <v>10.8</v>
      </c>
      <c r="M272" s="106">
        <v>1.67</v>
      </c>
      <c r="N272" s="106">
        <v>0.83</v>
      </c>
      <c r="O272" s="106">
        <v>0</v>
      </c>
      <c r="P272" s="106">
        <v>-1.08</v>
      </c>
      <c r="Q272" s="106">
        <v>2.16</v>
      </c>
      <c r="R272" s="106">
        <v>1</v>
      </c>
      <c r="S272" s="106">
        <v>0</v>
      </c>
      <c r="T272" s="106">
        <v>1</v>
      </c>
      <c r="U272" s="106">
        <v>2.66</v>
      </c>
      <c r="V272" s="106">
        <v>0</v>
      </c>
      <c r="W272" s="106">
        <v>0</v>
      </c>
      <c r="X272" s="106">
        <v>0</v>
      </c>
      <c r="Y272" s="106">
        <v>0</v>
      </c>
      <c r="Z272" s="106">
        <v>0</v>
      </c>
      <c r="AA272" s="106">
        <v>0</v>
      </c>
      <c r="AB272" s="106">
        <v>0</v>
      </c>
      <c r="AC272" s="106">
        <v>0</v>
      </c>
      <c r="AD272" s="19">
        <v>0</v>
      </c>
    </row>
    <row r="273" spans="1:30" x14ac:dyDescent="0.2">
      <c r="A273" s="19" t="s">
        <v>411</v>
      </c>
      <c r="B273" s="19" t="s">
        <v>414</v>
      </c>
      <c r="C273" s="20">
        <v>5926517.6900000004</v>
      </c>
      <c r="D273" s="20">
        <v>139575.67939999999</v>
      </c>
      <c r="E273" s="20">
        <v>765753.33860000002</v>
      </c>
      <c r="F273" s="20">
        <v>0</v>
      </c>
      <c r="G273" s="20">
        <v>6831846.7079999996</v>
      </c>
      <c r="H273" s="19" t="s">
        <v>122</v>
      </c>
      <c r="I273" s="106">
        <v>61.797999999999995</v>
      </c>
      <c r="J273" s="106">
        <v>0</v>
      </c>
      <c r="K273" s="106">
        <v>0</v>
      </c>
      <c r="L273" s="106">
        <v>31.9</v>
      </c>
      <c r="M273" s="106">
        <v>5.24</v>
      </c>
      <c r="N273" s="106">
        <v>2.33</v>
      </c>
      <c r="O273" s="106">
        <v>1.92</v>
      </c>
      <c r="P273" s="106">
        <v>-5.13</v>
      </c>
      <c r="Q273" s="106">
        <v>10.26</v>
      </c>
      <c r="R273" s="106">
        <v>1</v>
      </c>
      <c r="S273" s="106">
        <v>1</v>
      </c>
      <c r="T273" s="106">
        <v>5</v>
      </c>
      <c r="U273" s="106">
        <v>8.2780000000000005</v>
      </c>
      <c r="V273" s="106">
        <v>0</v>
      </c>
      <c r="W273" s="106">
        <v>0</v>
      </c>
      <c r="X273" s="106">
        <v>0</v>
      </c>
      <c r="Y273" s="106">
        <v>0</v>
      </c>
      <c r="Z273" s="106">
        <v>0</v>
      </c>
      <c r="AA273" s="106">
        <v>0</v>
      </c>
      <c r="AB273" s="106">
        <v>0</v>
      </c>
      <c r="AC273" s="106">
        <v>0</v>
      </c>
      <c r="AD273" s="19">
        <v>0</v>
      </c>
    </row>
    <row r="274" spans="1:30" x14ac:dyDescent="0.2">
      <c r="A274" s="19" t="s">
        <v>411</v>
      </c>
      <c r="B274" s="19" t="s">
        <v>411</v>
      </c>
      <c r="C274" s="20">
        <v>11928044.869999999</v>
      </c>
      <c r="D274" s="20">
        <v>413947.3885</v>
      </c>
      <c r="E274" s="20">
        <v>1553361.7019</v>
      </c>
      <c r="F274" s="20">
        <v>759211.84970000002</v>
      </c>
      <c r="G274" s="20">
        <v>14654565.8101</v>
      </c>
      <c r="H274" s="19" t="s">
        <v>122</v>
      </c>
      <c r="I274" s="106">
        <v>123.55400000000002</v>
      </c>
      <c r="J274" s="106">
        <v>6.0090266666666663</v>
      </c>
      <c r="K274" s="106">
        <v>16.850000000000001</v>
      </c>
      <c r="L274" s="106">
        <v>49.3</v>
      </c>
      <c r="M274" s="106">
        <v>10.119999999999999</v>
      </c>
      <c r="N274" s="106">
        <v>6</v>
      </c>
      <c r="O274" s="106">
        <v>3.85</v>
      </c>
      <c r="P274" s="106">
        <v>-6.21</v>
      </c>
      <c r="Q274" s="106">
        <v>12.42</v>
      </c>
      <c r="R274" s="106">
        <v>3</v>
      </c>
      <c r="S274" s="106">
        <v>2</v>
      </c>
      <c r="T274" s="106">
        <v>9</v>
      </c>
      <c r="U274" s="106">
        <v>17.224000000000004</v>
      </c>
      <c r="V274" s="106">
        <v>1</v>
      </c>
      <c r="W274" s="106">
        <v>1</v>
      </c>
      <c r="X274" s="106">
        <v>0</v>
      </c>
      <c r="Y274" s="106">
        <v>0</v>
      </c>
      <c r="Z274" s="106">
        <v>0.82369333333333339</v>
      </c>
      <c r="AA274" s="106">
        <v>1</v>
      </c>
      <c r="AB274" s="106">
        <v>1</v>
      </c>
      <c r="AC274" s="106">
        <v>0.18533333333333332</v>
      </c>
      <c r="AD274" s="19">
        <v>1</v>
      </c>
    </row>
    <row r="275" spans="1:30" x14ac:dyDescent="0.2">
      <c r="A275" s="19" t="s">
        <v>415</v>
      </c>
      <c r="B275" s="19" t="s">
        <v>416</v>
      </c>
      <c r="C275" s="20">
        <v>7246544.7999999998</v>
      </c>
      <c r="D275" s="20">
        <v>367389.14189999999</v>
      </c>
      <c r="E275" s="20">
        <v>900371.85389999999</v>
      </c>
      <c r="F275" s="20">
        <v>0</v>
      </c>
      <c r="G275" s="20">
        <v>8514305.7959000003</v>
      </c>
      <c r="H275" s="19" t="s">
        <v>122</v>
      </c>
      <c r="I275" s="106">
        <v>75.36</v>
      </c>
      <c r="J275" s="106">
        <v>0</v>
      </c>
      <c r="K275" s="106">
        <v>41.23</v>
      </c>
      <c r="L275" s="106">
        <v>0</v>
      </c>
      <c r="M275" s="106">
        <v>3.21</v>
      </c>
      <c r="N275" s="106">
        <v>3.17</v>
      </c>
      <c r="O275" s="106">
        <v>7.69</v>
      </c>
      <c r="P275" s="106">
        <v>0</v>
      </c>
      <c r="Q275" s="106">
        <v>0</v>
      </c>
      <c r="R275" s="106">
        <v>1</v>
      </c>
      <c r="S275" s="106">
        <v>2</v>
      </c>
      <c r="T275" s="106">
        <v>6</v>
      </c>
      <c r="U275" s="106">
        <v>11.06</v>
      </c>
      <c r="V275" s="106">
        <v>0</v>
      </c>
      <c r="W275" s="106">
        <v>0</v>
      </c>
      <c r="X275" s="106">
        <v>0</v>
      </c>
      <c r="Y275" s="106">
        <v>0</v>
      </c>
      <c r="Z275" s="106">
        <v>0</v>
      </c>
      <c r="AA275" s="106">
        <v>0</v>
      </c>
      <c r="AB275" s="106">
        <v>0</v>
      </c>
      <c r="AC275" s="106">
        <v>0</v>
      </c>
      <c r="AD275" s="19">
        <v>0</v>
      </c>
    </row>
    <row r="276" spans="1:30" x14ac:dyDescent="0.2">
      <c r="A276" s="19" t="s">
        <v>415</v>
      </c>
      <c r="B276" s="19" t="s">
        <v>417</v>
      </c>
      <c r="C276" s="20">
        <v>6548267.1900000004</v>
      </c>
      <c r="D276" s="20">
        <v>312113.6067</v>
      </c>
      <c r="E276" s="20">
        <v>872789.41740000003</v>
      </c>
      <c r="F276" s="20">
        <v>0</v>
      </c>
      <c r="G276" s="20">
        <v>7733170.2141000004</v>
      </c>
      <c r="H276" s="19" t="s">
        <v>122</v>
      </c>
      <c r="I276" s="106">
        <v>68.097999999999999</v>
      </c>
      <c r="J276" s="106">
        <v>0</v>
      </c>
      <c r="K276" s="106">
        <v>12.78</v>
      </c>
      <c r="L276" s="106">
        <v>21.7</v>
      </c>
      <c r="M276" s="106">
        <v>7.98</v>
      </c>
      <c r="N276" s="106">
        <v>2.17</v>
      </c>
      <c r="O276" s="106">
        <v>4.62</v>
      </c>
      <c r="P276" s="106">
        <v>0</v>
      </c>
      <c r="Q276" s="106">
        <v>0</v>
      </c>
      <c r="R276" s="106">
        <v>1</v>
      </c>
      <c r="S276" s="106">
        <v>2</v>
      </c>
      <c r="T276" s="106">
        <v>6</v>
      </c>
      <c r="U276" s="106">
        <v>9.8480000000000008</v>
      </c>
      <c r="V276" s="106">
        <v>0</v>
      </c>
      <c r="W276" s="106">
        <v>0</v>
      </c>
      <c r="X276" s="106">
        <v>0</v>
      </c>
      <c r="Y276" s="106">
        <v>0</v>
      </c>
      <c r="Z276" s="106">
        <v>0</v>
      </c>
      <c r="AA276" s="106">
        <v>0</v>
      </c>
      <c r="AB276" s="106">
        <v>0</v>
      </c>
      <c r="AC276" s="106">
        <v>0</v>
      </c>
      <c r="AD276" s="19">
        <v>0</v>
      </c>
    </row>
    <row r="277" spans="1:30" x14ac:dyDescent="0.2">
      <c r="A277" s="19" t="s">
        <v>415</v>
      </c>
      <c r="B277" s="19" t="s">
        <v>418</v>
      </c>
      <c r="C277" s="20">
        <v>6132323.0099999998</v>
      </c>
      <c r="D277" s="20">
        <v>241904.7616</v>
      </c>
      <c r="E277" s="20">
        <v>869560.64980000001</v>
      </c>
      <c r="F277" s="20">
        <v>0</v>
      </c>
      <c r="G277" s="20">
        <v>7243788.4214000003</v>
      </c>
      <c r="H277" s="19" t="s">
        <v>122</v>
      </c>
      <c r="I277" s="106">
        <v>63.542000000000002</v>
      </c>
      <c r="J277" s="106">
        <v>0</v>
      </c>
      <c r="K277" s="106">
        <v>0</v>
      </c>
      <c r="L277" s="106">
        <v>32.700000000000003</v>
      </c>
      <c r="M277" s="106">
        <v>8.1</v>
      </c>
      <c r="N277" s="106">
        <v>1.83</v>
      </c>
      <c r="O277" s="106">
        <v>3.08</v>
      </c>
      <c r="P277" s="106">
        <v>-0.68</v>
      </c>
      <c r="Q277" s="106">
        <v>1.37</v>
      </c>
      <c r="R277" s="106">
        <v>1</v>
      </c>
      <c r="S277" s="106">
        <v>2</v>
      </c>
      <c r="T277" s="106">
        <v>5</v>
      </c>
      <c r="U277" s="106">
        <v>9.1420000000000012</v>
      </c>
      <c r="V277" s="106">
        <v>0</v>
      </c>
      <c r="W277" s="106">
        <v>0</v>
      </c>
      <c r="X277" s="106">
        <v>0</v>
      </c>
      <c r="Y277" s="106">
        <v>0</v>
      </c>
      <c r="Z277" s="106">
        <v>0</v>
      </c>
      <c r="AA277" s="106">
        <v>0</v>
      </c>
      <c r="AB277" s="106">
        <v>0</v>
      </c>
      <c r="AC277" s="106">
        <v>0</v>
      </c>
      <c r="AD277" s="19">
        <v>0</v>
      </c>
    </row>
    <row r="278" spans="1:30" x14ac:dyDescent="0.2">
      <c r="A278" s="19" t="s">
        <v>415</v>
      </c>
      <c r="B278" s="19" t="s">
        <v>419</v>
      </c>
      <c r="C278" s="20">
        <v>7606549.1200000001</v>
      </c>
      <c r="D278" s="20">
        <v>229844.19459999999</v>
      </c>
      <c r="E278" s="20">
        <v>985844.95730000001</v>
      </c>
      <c r="F278" s="20">
        <v>0</v>
      </c>
      <c r="G278" s="20">
        <v>8822238.2719000001</v>
      </c>
      <c r="H278" s="19" t="s">
        <v>122</v>
      </c>
      <c r="I278" s="106">
        <v>79.103999999999999</v>
      </c>
      <c r="J278" s="106">
        <v>0</v>
      </c>
      <c r="K278" s="106">
        <v>0</v>
      </c>
      <c r="L278" s="106">
        <v>43.15</v>
      </c>
      <c r="M278" s="106">
        <v>7.5</v>
      </c>
      <c r="N278" s="106">
        <v>2.67</v>
      </c>
      <c r="O278" s="106">
        <v>2.31</v>
      </c>
      <c r="P278" s="106">
        <v>-3.37</v>
      </c>
      <c r="Q278" s="106">
        <v>6.72</v>
      </c>
      <c r="R278" s="106">
        <v>1</v>
      </c>
      <c r="S278" s="106">
        <v>2</v>
      </c>
      <c r="T278" s="106">
        <v>6</v>
      </c>
      <c r="U278" s="106">
        <v>11.124000000000001</v>
      </c>
      <c r="V278" s="106">
        <v>0</v>
      </c>
      <c r="W278" s="106">
        <v>0</v>
      </c>
      <c r="X278" s="106">
        <v>0</v>
      </c>
      <c r="Y278" s="106">
        <v>0</v>
      </c>
      <c r="Z278" s="106">
        <v>0</v>
      </c>
      <c r="AA278" s="106">
        <v>0</v>
      </c>
      <c r="AB278" s="106">
        <v>0</v>
      </c>
      <c r="AC278" s="106">
        <v>0</v>
      </c>
      <c r="AD278" s="19">
        <v>0</v>
      </c>
    </row>
    <row r="279" spans="1:30" x14ac:dyDescent="0.2">
      <c r="A279" s="19" t="s">
        <v>415</v>
      </c>
      <c r="B279" s="19" t="s">
        <v>415</v>
      </c>
      <c r="C279" s="20">
        <v>27531761.02</v>
      </c>
      <c r="D279" s="20">
        <v>1151251.7049</v>
      </c>
      <c r="E279" s="20">
        <v>3628566.8785000001</v>
      </c>
      <c r="F279" s="20">
        <v>1077424.2859</v>
      </c>
      <c r="G279" s="20">
        <v>33389003.889199998</v>
      </c>
      <c r="H279" s="19" t="s">
        <v>122</v>
      </c>
      <c r="I279" s="106">
        <v>286.084</v>
      </c>
      <c r="J279" s="106">
        <v>8.3280266666666662</v>
      </c>
      <c r="K279" s="106">
        <v>54.01</v>
      </c>
      <c r="L279" s="106">
        <v>97.55</v>
      </c>
      <c r="M279" s="106">
        <v>26.79</v>
      </c>
      <c r="N279" s="106">
        <v>9.83</v>
      </c>
      <c r="O279" s="106">
        <v>17.690000000000001</v>
      </c>
      <c r="P279" s="106">
        <v>-4.05</v>
      </c>
      <c r="Q279" s="106">
        <v>8.09</v>
      </c>
      <c r="R279" s="106">
        <v>4</v>
      </c>
      <c r="S279" s="106">
        <v>8</v>
      </c>
      <c r="T279" s="106">
        <v>23</v>
      </c>
      <c r="U279" s="106">
        <v>41.174000000000007</v>
      </c>
      <c r="V279" s="106">
        <v>1</v>
      </c>
      <c r="W279" s="106">
        <v>1</v>
      </c>
      <c r="X279" s="106">
        <v>0</v>
      </c>
      <c r="Y279" s="106">
        <v>1</v>
      </c>
      <c r="Z279" s="106">
        <v>1.9072266666666666</v>
      </c>
      <c r="AA279" s="106">
        <v>1</v>
      </c>
      <c r="AB279" s="106">
        <v>1</v>
      </c>
      <c r="AC279" s="106">
        <v>0.42080000000000001</v>
      </c>
      <c r="AD279" s="19">
        <v>1</v>
      </c>
    </row>
    <row r="280" spans="1:30" x14ac:dyDescent="0.2">
      <c r="A280" s="19" t="s">
        <v>420</v>
      </c>
      <c r="B280" s="19" t="s">
        <v>421</v>
      </c>
      <c r="C280" s="20">
        <v>7844640.1699999999</v>
      </c>
      <c r="D280" s="20">
        <v>824130.49309999996</v>
      </c>
      <c r="E280" s="20">
        <v>1242799.6913000001</v>
      </c>
      <c r="F280" s="20">
        <v>0</v>
      </c>
      <c r="G280" s="20">
        <v>9911570.3543999996</v>
      </c>
      <c r="H280" s="19" t="s">
        <v>122</v>
      </c>
      <c r="I280" s="106">
        <v>81.414000000000016</v>
      </c>
      <c r="J280" s="106">
        <v>0</v>
      </c>
      <c r="K280" s="106">
        <v>46.3</v>
      </c>
      <c r="L280" s="106">
        <v>0</v>
      </c>
      <c r="M280" s="106">
        <v>6.79</v>
      </c>
      <c r="N280" s="106">
        <v>3.67</v>
      </c>
      <c r="O280" s="106">
        <v>1.92</v>
      </c>
      <c r="P280" s="106">
        <v>0</v>
      </c>
      <c r="Q280" s="106">
        <v>0</v>
      </c>
      <c r="R280" s="106">
        <v>1</v>
      </c>
      <c r="S280" s="106">
        <v>3</v>
      </c>
      <c r="T280" s="106">
        <v>7</v>
      </c>
      <c r="U280" s="106">
        <v>11.734000000000002</v>
      </c>
      <c r="V280" s="106">
        <v>0</v>
      </c>
      <c r="W280" s="106">
        <v>0</v>
      </c>
      <c r="X280" s="106">
        <v>0</v>
      </c>
      <c r="Y280" s="106">
        <v>0</v>
      </c>
      <c r="Z280" s="106">
        <v>0</v>
      </c>
      <c r="AA280" s="106">
        <v>0</v>
      </c>
      <c r="AB280" s="106">
        <v>0</v>
      </c>
      <c r="AC280" s="106">
        <v>0</v>
      </c>
      <c r="AD280" s="19">
        <v>0</v>
      </c>
    </row>
    <row r="281" spans="1:30" x14ac:dyDescent="0.2">
      <c r="A281" s="19" t="s">
        <v>420</v>
      </c>
      <c r="B281" s="19" t="s">
        <v>422</v>
      </c>
      <c r="C281" s="20">
        <v>3700958.76</v>
      </c>
      <c r="D281" s="20">
        <v>379920.24449999997</v>
      </c>
      <c r="E281" s="20">
        <v>654823.26879999996</v>
      </c>
      <c r="F281" s="20">
        <v>0</v>
      </c>
      <c r="G281" s="20">
        <v>4735702.2731999997</v>
      </c>
      <c r="H281" s="19" t="s">
        <v>122</v>
      </c>
      <c r="I281" s="106">
        <v>38.191999999999993</v>
      </c>
      <c r="J281" s="106">
        <v>0</v>
      </c>
      <c r="K281" s="106">
        <v>0</v>
      </c>
      <c r="L281" s="106">
        <v>17.45</v>
      </c>
      <c r="M281" s="106">
        <v>6.79</v>
      </c>
      <c r="N281" s="106">
        <v>1.5</v>
      </c>
      <c r="O281" s="106">
        <v>1.92</v>
      </c>
      <c r="P281" s="106">
        <v>0</v>
      </c>
      <c r="Q281" s="106">
        <v>0</v>
      </c>
      <c r="R281" s="106">
        <v>1</v>
      </c>
      <c r="S281" s="106">
        <v>1</v>
      </c>
      <c r="T281" s="106">
        <v>3</v>
      </c>
      <c r="U281" s="106">
        <v>5.532</v>
      </c>
      <c r="V281" s="106">
        <v>0</v>
      </c>
      <c r="W281" s="106">
        <v>0</v>
      </c>
      <c r="X281" s="106">
        <v>0</v>
      </c>
      <c r="Y281" s="106">
        <v>0</v>
      </c>
      <c r="Z281" s="106">
        <v>0</v>
      </c>
      <c r="AA281" s="106">
        <v>0</v>
      </c>
      <c r="AB281" s="106">
        <v>0</v>
      </c>
      <c r="AC281" s="106">
        <v>0</v>
      </c>
      <c r="AD281" s="19">
        <v>0</v>
      </c>
    </row>
    <row r="282" spans="1:30" x14ac:dyDescent="0.2">
      <c r="A282" s="19" t="s">
        <v>420</v>
      </c>
      <c r="B282" s="19" t="s">
        <v>423</v>
      </c>
      <c r="C282" s="20">
        <v>5704817.8799999999</v>
      </c>
      <c r="D282" s="20">
        <v>709146.48329999996</v>
      </c>
      <c r="E282" s="20">
        <v>1106785.8291</v>
      </c>
      <c r="F282" s="20">
        <v>0</v>
      </c>
      <c r="G282" s="20">
        <v>7520750.1924000001</v>
      </c>
      <c r="H282" s="19" t="s">
        <v>122</v>
      </c>
      <c r="I282" s="106">
        <v>59.096000000000004</v>
      </c>
      <c r="J282" s="106">
        <v>0</v>
      </c>
      <c r="K282" s="106">
        <v>0</v>
      </c>
      <c r="L282" s="106">
        <v>29.05</v>
      </c>
      <c r="M282" s="106">
        <v>9.76</v>
      </c>
      <c r="N282" s="106">
        <v>3</v>
      </c>
      <c r="O282" s="106">
        <v>0.77</v>
      </c>
      <c r="P282" s="106">
        <v>0</v>
      </c>
      <c r="Q282" s="106">
        <v>0</v>
      </c>
      <c r="R282" s="106">
        <v>1</v>
      </c>
      <c r="S282" s="106">
        <v>2</v>
      </c>
      <c r="T282" s="106">
        <v>5</v>
      </c>
      <c r="U282" s="106">
        <v>8.516</v>
      </c>
      <c r="V282" s="106">
        <v>0</v>
      </c>
      <c r="W282" s="106">
        <v>0</v>
      </c>
      <c r="X282" s="106">
        <v>0</v>
      </c>
      <c r="Y282" s="106">
        <v>0</v>
      </c>
      <c r="Z282" s="106">
        <v>0</v>
      </c>
      <c r="AA282" s="106">
        <v>0</v>
      </c>
      <c r="AB282" s="106">
        <v>0</v>
      </c>
      <c r="AC282" s="106">
        <v>0</v>
      </c>
      <c r="AD282" s="19">
        <v>0</v>
      </c>
    </row>
    <row r="283" spans="1:30" x14ac:dyDescent="0.2">
      <c r="A283" s="19" t="s">
        <v>420</v>
      </c>
      <c r="B283" s="19" t="s">
        <v>424</v>
      </c>
      <c r="C283" s="20">
        <v>4289427.3600000003</v>
      </c>
      <c r="D283" s="20">
        <v>544681.95400000003</v>
      </c>
      <c r="E283" s="20">
        <v>838765.67059999995</v>
      </c>
      <c r="F283" s="20">
        <v>0</v>
      </c>
      <c r="G283" s="20">
        <v>5672874.9846999999</v>
      </c>
      <c r="H283" s="19" t="s">
        <v>122</v>
      </c>
      <c r="I283" s="106">
        <v>44.311999999999998</v>
      </c>
      <c r="J283" s="106">
        <v>0</v>
      </c>
      <c r="K283" s="106">
        <v>0</v>
      </c>
      <c r="L283" s="106">
        <v>19.45</v>
      </c>
      <c r="M283" s="106">
        <v>7.62</v>
      </c>
      <c r="N283" s="106">
        <v>1.17</v>
      </c>
      <c r="O283" s="106">
        <v>1.92</v>
      </c>
      <c r="P283" s="106">
        <v>-3.12</v>
      </c>
      <c r="Q283" s="106">
        <v>6.24</v>
      </c>
      <c r="R283" s="106">
        <v>1</v>
      </c>
      <c r="S283" s="106">
        <v>1</v>
      </c>
      <c r="T283" s="106">
        <v>3</v>
      </c>
      <c r="U283" s="106">
        <v>6.032</v>
      </c>
      <c r="V283" s="106">
        <v>0</v>
      </c>
      <c r="W283" s="106">
        <v>0</v>
      </c>
      <c r="X283" s="106">
        <v>0</v>
      </c>
      <c r="Y283" s="106">
        <v>0</v>
      </c>
      <c r="Z283" s="106">
        <v>0</v>
      </c>
      <c r="AA283" s="106">
        <v>0</v>
      </c>
      <c r="AB283" s="106">
        <v>0</v>
      </c>
      <c r="AC283" s="106">
        <v>0</v>
      </c>
      <c r="AD283" s="19">
        <v>0</v>
      </c>
    </row>
    <row r="284" spans="1:30" x14ac:dyDescent="0.2">
      <c r="A284" s="19" t="s">
        <v>420</v>
      </c>
      <c r="B284" s="19" t="s">
        <v>420</v>
      </c>
      <c r="C284" s="20">
        <v>21538882.620000001</v>
      </c>
      <c r="D284" s="20">
        <v>2457879.1749</v>
      </c>
      <c r="E284" s="20">
        <v>3843174.4597999998</v>
      </c>
      <c r="F284" s="20">
        <v>1017361.6581999999</v>
      </c>
      <c r="G284" s="20">
        <v>28857297.912999999</v>
      </c>
      <c r="H284" s="19" t="s">
        <v>122</v>
      </c>
      <c r="I284" s="106">
        <v>223.00399999999999</v>
      </c>
      <c r="J284" s="106">
        <v>7.8069600000000001</v>
      </c>
      <c r="K284" s="106">
        <v>46.3</v>
      </c>
      <c r="L284" s="106">
        <v>65.95</v>
      </c>
      <c r="M284" s="106">
        <v>30.95</v>
      </c>
      <c r="N284" s="106">
        <v>9.33</v>
      </c>
      <c r="O284" s="106">
        <v>6.54</v>
      </c>
      <c r="P284" s="106">
        <v>-3.12</v>
      </c>
      <c r="Q284" s="106">
        <v>6.24</v>
      </c>
      <c r="R284" s="106">
        <v>4</v>
      </c>
      <c r="S284" s="106">
        <v>7</v>
      </c>
      <c r="T284" s="106">
        <v>18</v>
      </c>
      <c r="U284" s="106">
        <v>31.814000000000004</v>
      </c>
      <c r="V284" s="106">
        <v>1</v>
      </c>
      <c r="W284" s="106">
        <v>1</v>
      </c>
      <c r="X284" s="106">
        <v>0</v>
      </c>
      <c r="Y284" s="106">
        <v>1</v>
      </c>
      <c r="Z284" s="106">
        <v>1.4866933333333332</v>
      </c>
      <c r="AA284" s="106">
        <v>1</v>
      </c>
      <c r="AB284" s="106">
        <v>1</v>
      </c>
      <c r="AC284" s="106">
        <v>0.32026666666666664</v>
      </c>
      <c r="AD284" s="19">
        <v>1</v>
      </c>
    </row>
    <row r="285" spans="1:30" x14ac:dyDescent="0.2">
      <c r="A285" s="19" t="s">
        <v>425</v>
      </c>
      <c r="B285" s="19" t="s">
        <v>426</v>
      </c>
      <c r="C285" s="20">
        <v>652878.68999999994</v>
      </c>
      <c r="D285" s="20">
        <v>50149.1751</v>
      </c>
      <c r="E285" s="20">
        <v>100383.8441</v>
      </c>
      <c r="F285" s="20">
        <v>0</v>
      </c>
      <c r="G285" s="20">
        <v>803411.70920000004</v>
      </c>
      <c r="H285" s="19" t="s">
        <v>122</v>
      </c>
      <c r="I285" s="106">
        <v>6.1980000000000004</v>
      </c>
      <c r="J285" s="106">
        <v>0</v>
      </c>
      <c r="K285" s="106">
        <v>0</v>
      </c>
      <c r="L285" s="106">
        <v>0.75</v>
      </c>
      <c r="M285" s="106">
        <v>0.83</v>
      </c>
      <c r="N285" s="106">
        <v>0.83</v>
      </c>
      <c r="O285" s="106">
        <v>1.92</v>
      </c>
      <c r="P285" s="106">
        <v>0</v>
      </c>
      <c r="Q285" s="106">
        <v>0</v>
      </c>
      <c r="R285" s="106">
        <v>1</v>
      </c>
      <c r="S285" s="106">
        <v>0</v>
      </c>
      <c r="T285" s="106">
        <v>0</v>
      </c>
      <c r="U285" s="106">
        <v>0.86799999999999999</v>
      </c>
      <c r="V285" s="106">
        <v>0</v>
      </c>
      <c r="W285" s="106">
        <v>0</v>
      </c>
      <c r="X285" s="106">
        <v>0</v>
      </c>
      <c r="Y285" s="106">
        <v>0</v>
      </c>
      <c r="Z285" s="106">
        <v>0</v>
      </c>
      <c r="AA285" s="106">
        <v>0</v>
      </c>
      <c r="AB285" s="106">
        <v>0</v>
      </c>
      <c r="AC285" s="106">
        <v>0</v>
      </c>
      <c r="AD285" s="19">
        <v>0</v>
      </c>
    </row>
    <row r="286" spans="1:30" x14ac:dyDescent="0.2">
      <c r="A286" s="19" t="s">
        <v>425</v>
      </c>
      <c r="B286" s="19" t="s">
        <v>427</v>
      </c>
      <c r="C286" s="20">
        <v>1763638.9</v>
      </c>
      <c r="D286" s="20">
        <v>234029.48370000001</v>
      </c>
      <c r="E286" s="20">
        <v>358279.62589999998</v>
      </c>
      <c r="F286" s="20">
        <v>0</v>
      </c>
      <c r="G286" s="20">
        <v>2355948.0096</v>
      </c>
      <c r="H286" s="19" t="s">
        <v>122</v>
      </c>
      <c r="I286" s="106">
        <v>17.98</v>
      </c>
      <c r="J286" s="106">
        <v>0</v>
      </c>
      <c r="K286" s="106">
        <v>0</v>
      </c>
      <c r="L286" s="106">
        <v>1.75</v>
      </c>
      <c r="M286" s="106">
        <v>2.38</v>
      </c>
      <c r="N286" s="106">
        <v>2</v>
      </c>
      <c r="O286" s="106">
        <v>6.92</v>
      </c>
      <c r="P286" s="106">
        <v>-0.32</v>
      </c>
      <c r="Q286" s="106">
        <v>0.64</v>
      </c>
      <c r="R286" s="106">
        <v>1</v>
      </c>
      <c r="S286" s="106">
        <v>0</v>
      </c>
      <c r="T286" s="106">
        <v>1</v>
      </c>
      <c r="U286" s="106">
        <v>2.6100000000000003</v>
      </c>
      <c r="V286" s="106">
        <v>0</v>
      </c>
      <c r="W286" s="106">
        <v>0</v>
      </c>
      <c r="X286" s="106">
        <v>0</v>
      </c>
      <c r="Y286" s="106">
        <v>0</v>
      </c>
      <c r="Z286" s="106">
        <v>0</v>
      </c>
      <c r="AA286" s="106">
        <v>0</v>
      </c>
      <c r="AB286" s="106">
        <v>0</v>
      </c>
      <c r="AC286" s="106">
        <v>0</v>
      </c>
      <c r="AD286" s="19">
        <v>0</v>
      </c>
    </row>
    <row r="287" spans="1:30" x14ac:dyDescent="0.2">
      <c r="A287" s="19" t="s">
        <v>425</v>
      </c>
      <c r="B287" s="19" t="s">
        <v>425</v>
      </c>
      <c r="C287" s="20">
        <v>2417479.14</v>
      </c>
      <c r="D287" s="20">
        <v>187223.587</v>
      </c>
      <c r="E287" s="20">
        <v>395142.74109999998</v>
      </c>
      <c r="F287" s="20">
        <v>663193.89489999996</v>
      </c>
      <c r="G287" s="20">
        <v>3663039.3629999999</v>
      </c>
      <c r="H287" s="19" t="s">
        <v>122</v>
      </c>
      <c r="I287" s="106">
        <v>24.188000000000002</v>
      </c>
      <c r="J287" s="106">
        <v>5.1768533333333329</v>
      </c>
      <c r="K287" s="106">
        <v>0</v>
      </c>
      <c r="L287" s="106">
        <v>2.5</v>
      </c>
      <c r="M287" s="106">
        <v>3.21</v>
      </c>
      <c r="N287" s="106">
        <v>2.83</v>
      </c>
      <c r="O287" s="106">
        <v>8.85</v>
      </c>
      <c r="P287" s="106">
        <v>-0.32</v>
      </c>
      <c r="Q287" s="106">
        <v>0.64</v>
      </c>
      <c r="R287" s="106">
        <v>2</v>
      </c>
      <c r="S287" s="106">
        <v>0</v>
      </c>
      <c r="T287" s="106">
        <v>1</v>
      </c>
      <c r="U287" s="106">
        <v>3.4780000000000002</v>
      </c>
      <c r="V287" s="106">
        <v>1</v>
      </c>
      <c r="W287" s="106">
        <v>1</v>
      </c>
      <c r="X287" s="106">
        <v>0</v>
      </c>
      <c r="Y287" s="106">
        <v>0</v>
      </c>
      <c r="Z287" s="106">
        <v>0.16125333333333336</v>
      </c>
      <c r="AA287" s="106">
        <v>1</v>
      </c>
      <c r="AB287" s="106">
        <v>1</v>
      </c>
      <c r="AC287" s="106">
        <v>1.5599999999999999E-2</v>
      </c>
      <c r="AD287" s="19">
        <v>1</v>
      </c>
    </row>
    <row r="288" spans="1:30" x14ac:dyDescent="0.2">
      <c r="A288" s="19" t="s">
        <v>428</v>
      </c>
      <c r="B288" s="19" t="s">
        <v>429</v>
      </c>
      <c r="C288" s="20">
        <v>5005952.07</v>
      </c>
      <c r="D288" s="20">
        <v>301786.59139999998</v>
      </c>
      <c r="E288" s="20">
        <v>682584.17989999999</v>
      </c>
      <c r="F288" s="20">
        <v>0</v>
      </c>
      <c r="G288" s="20">
        <v>5990322.8413000004</v>
      </c>
      <c r="H288" s="19" t="s">
        <v>122</v>
      </c>
      <c r="I288" s="106">
        <v>51.994000000000007</v>
      </c>
      <c r="J288" s="106">
        <v>0</v>
      </c>
      <c r="K288" s="106">
        <v>22.28</v>
      </c>
      <c r="L288" s="106">
        <v>6.55</v>
      </c>
      <c r="M288" s="106">
        <v>6.19</v>
      </c>
      <c r="N288" s="106">
        <v>1</v>
      </c>
      <c r="O288" s="106">
        <v>2.31</v>
      </c>
      <c r="P288" s="106">
        <v>0</v>
      </c>
      <c r="Q288" s="106">
        <v>0</v>
      </c>
      <c r="R288" s="106">
        <v>1</v>
      </c>
      <c r="S288" s="106">
        <v>1</v>
      </c>
      <c r="T288" s="106">
        <v>4</v>
      </c>
      <c r="U288" s="106">
        <v>7.6640000000000006</v>
      </c>
      <c r="V288" s="106">
        <v>0</v>
      </c>
      <c r="W288" s="106">
        <v>0</v>
      </c>
      <c r="X288" s="106">
        <v>0</v>
      </c>
      <c r="Y288" s="106">
        <v>0</v>
      </c>
      <c r="Z288" s="106">
        <v>0</v>
      </c>
      <c r="AA288" s="106">
        <v>0</v>
      </c>
      <c r="AB288" s="106">
        <v>0</v>
      </c>
      <c r="AC288" s="106">
        <v>0</v>
      </c>
      <c r="AD288" s="19">
        <v>0</v>
      </c>
    </row>
    <row r="289" spans="1:30" x14ac:dyDescent="0.2">
      <c r="A289" s="19" t="s">
        <v>428</v>
      </c>
      <c r="B289" s="19" t="s">
        <v>430</v>
      </c>
      <c r="C289" s="20">
        <v>2026334.36</v>
      </c>
      <c r="D289" s="20">
        <v>152057.2519</v>
      </c>
      <c r="E289" s="20">
        <v>337868.62280000001</v>
      </c>
      <c r="F289" s="20">
        <v>0</v>
      </c>
      <c r="G289" s="20">
        <v>2516260.2346999999</v>
      </c>
      <c r="H289" s="19" t="s">
        <v>122</v>
      </c>
      <c r="I289" s="106">
        <v>20.711999999999996</v>
      </c>
      <c r="J289" s="106">
        <v>0</v>
      </c>
      <c r="K289" s="106">
        <v>0</v>
      </c>
      <c r="L289" s="106">
        <v>9.1</v>
      </c>
      <c r="M289" s="106">
        <v>4.6399999999999997</v>
      </c>
      <c r="N289" s="106">
        <v>1.33</v>
      </c>
      <c r="O289" s="106">
        <v>0.38</v>
      </c>
      <c r="P289" s="106">
        <v>-0.17</v>
      </c>
      <c r="Q289" s="106">
        <v>0.34</v>
      </c>
      <c r="R289" s="106">
        <v>1</v>
      </c>
      <c r="S289" s="106">
        <v>0</v>
      </c>
      <c r="T289" s="106">
        <v>1</v>
      </c>
      <c r="U289" s="106">
        <v>3.0920000000000005</v>
      </c>
      <c r="V289" s="106">
        <v>0</v>
      </c>
      <c r="W289" s="106">
        <v>0</v>
      </c>
      <c r="X289" s="106">
        <v>0</v>
      </c>
      <c r="Y289" s="106">
        <v>0</v>
      </c>
      <c r="Z289" s="106">
        <v>0</v>
      </c>
      <c r="AA289" s="106">
        <v>0</v>
      </c>
      <c r="AB289" s="106">
        <v>0</v>
      </c>
      <c r="AC289" s="106">
        <v>0</v>
      </c>
      <c r="AD289" s="19">
        <v>0</v>
      </c>
    </row>
    <row r="290" spans="1:30" x14ac:dyDescent="0.2">
      <c r="A290" s="19" t="s">
        <v>428</v>
      </c>
      <c r="B290" s="19" t="s">
        <v>428</v>
      </c>
      <c r="C290" s="20">
        <v>7032286.4299999997</v>
      </c>
      <c r="D290" s="20">
        <v>453843.84330000001</v>
      </c>
      <c r="E290" s="20">
        <v>1020452.8027</v>
      </c>
      <c r="F290" s="20">
        <v>710858.56469999999</v>
      </c>
      <c r="G290" s="20">
        <v>9217441.6406999994</v>
      </c>
      <c r="H290" s="19" t="s">
        <v>122</v>
      </c>
      <c r="I290" s="106">
        <v>72.705999999999989</v>
      </c>
      <c r="J290" s="106">
        <v>5.5895066666666668</v>
      </c>
      <c r="K290" s="106">
        <v>22.28</v>
      </c>
      <c r="L290" s="106">
        <v>15.65</v>
      </c>
      <c r="M290" s="106">
        <v>10.83</v>
      </c>
      <c r="N290" s="106">
        <v>2.33</v>
      </c>
      <c r="O290" s="106">
        <v>2.69</v>
      </c>
      <c r="P290" s="106">
        <v>-0.17</v>
      </c>
      <c r="Q290" s="106">
        <v>0.34</v>
      </c>
      <c r="R290" s="106">
        <v>2</v>
      </c>
      <c r="S290" s="106">
        <v>1</v>
      </c>
      <c r="T290" s="106">
        <v>5</v>
      </c>
      <c r="U290" s="106">
        <v>10.756</v>
      </c>
      <c r="V290" s="106">
        <v>1</v>
      </c>
      <c r="W290" s="106">
        <v>1</v>
      </c>
      <c r="X290" s="106">
        <v>0</v>
      </c>
      <c r="Y290" s="106">
        <v>0</v>
      </c>
      <c r="Z290" s="106">
        <v>0.48470666666666662</v>
      </c>
      <c r="AA290" s="106">
        <v>1</v>
      </c>
      <c r="AB290" s="106">
        <v>1</v>
      </c>
      <c r="AC290" s="106">
        <v>0.1048</v>
      </c>
      <c r="AD290" s="19">
        <v>1</v>
      </c>
    </row>
    <row r="291" spans="1:30" x14ac:dyDescent="0.2">
      <c r="A291" s="19" t="s">
        <v>431</v>
      </c>
      <c r="B291" s="19" t="s">
        <v>432</v>
      </c>
      <c r="C291" s="20">
        <v>2380354.7200000002</v>
      </c>
      <c r="D291" s="20">
        <v>152230.60699999999</v>
      </c>
      <c r="E291" s="20">
        <v>325618.77600000001</v>
      </c>
      <c r="F291" s="20">
        <v>0</v>
      </c>
      <c r="G291" s="20">
        <v>2858204.1030999999</v>
      </c>
      <c r="H291" s="19" t="s">
        <v>122</v>
      </c>
      <c r="I291" s="106">
        <v>24.623999999999999</v>
      </c>
      <c r="J291" s="106">
        <v>0</v>
      </c>
      <c r="K291" s="106">
        <v>10.74</v>
      </c>
      <c r="L291" s="106">
        <v>3.8</v>
      </c>
      <c r="M291" s="106">
        <v>2.98</v>
      </c>
      <c r="N291" s="106">
        <v>0.5</v>
      </c>
      <c r="O291" s="106">
        <v>0</v>
      </c>
      <c r="P291" s="106">
        <v>0</v>
      </c>
      <c r="Q291" s="106">
        <v>0</v>
      </c>
      <c r="R291" s="106">
        <v>1</v>
      </c>
      <c r="S291" s="106">
        <v>0</v>
      </c>
      <c r="T291" s="106">
        <v>2</v>
      </c>
      <c r="U291" s="106">
        <v>3.6040000000000001</v>
      </c>
      <c r="V291" s="106">
        <v>0</v>
      </c>
      <c r="W291" s="106">
        <v>0</v>
      </c>
      <c r="X291" s="106">
        <v>0</v>
      </c>
      <c r="Y291" s="106">
        <v>0</v>
      </c>
      <c r="Z291" s="106">
        <v>0</v>
      </c>
      <c r="AA291" s="106">
        <v>0</v>
      </c>
      <c r="AB291" s="106">
        <v>0</v>
      </c>
      <c r="AC291" s="106">
        <v>0</v>
      </c>
      <c r="AD291" s="19">
        <v>0</v>
      </c>
    </row>
    <row r="292" spans="1:30" x14ac:dyDescent="0.2">
      <c r="A292" s="19" t="s">
        <v>431</v>
      </c>
      <c r="B292" s="19" t="s">
        <v>433</v>
      </c>
      <c r="C292" s="20">
        <v>2937476.79</v>
      </c>
      <c r="D292" s="20">
        <v>111814.0867</v>
      </c>
      <c r="E292" s="20">
        <v>394217.91820000001</v>
      </c>
      <c r="F292" s="20">
        <v>0</v>
      </c>
      <c r="G292" s="20">
        <v>3443508.7949000001</v>
      </c>
      <c r="H292" s="19" t="s">
        <v>122</v>
      </c>
      <c r="I292" s="106">
        <v>30.417999999999999</v>
      </c>
      <c r="J292" s="106">
        <v>0</v>
      </c>
      <c r="K292" s="106">
        <v>0</v>
      </c>
      <c r="L292" s="106">
        <v>17.350000000000001</v>
      </c>
      <c r="M292" s="106">
        <v>4.4000000000000004</v>
      </c>
      <c r="N292" s="106">
        <v>0.83</v>
      </c>
      <c r="O292" s="106">
        <v>0</v>
      </c>
      <c r="P292" s="106">
        <v>-0.32</v>
      </c>
      <c r="Q292" s="106">
        <v>0.64</v>
      </c>
      <c r="R292" s="106">
        <v>1</v>
      </c>
      <c r="S292" s="106">
        <v>0</v>
      </c>
      <c r="T292" s="106">
        <v>2</v>
      </c>
      <c r="U292" s="106">
        <v>4.5179999999999998</v>
      </c>
      <c r="V292" s="106">
        <v>0</v>
      </c>
      <c r="W292" s="106">
        <v>0</v>
      </c>
      <c r="X292" s="106">
        <v>0</v>
      </c>
      <c r="Y292" s="106">
        <v>0</v>
      </c>
      <c r="Z292" s="106">
        <v>0</v>
      </c>
      <c r="AA292" s="106">
        <v>0</v>
      </c>
      <c r="AB292" s="106">
        <v>0</v>
      </c>
      <c r="AC292" s="106">
        <v>0</v>
      </c>
      <c r="AD292" s="19">
        <v>0</v>
      </c>
    </row>
    <row r="293" spans="1:30" x14ac:dyDescent="0.2">
      <c r="A293" s="19" t="s">
        <v>431</v>
      </c>
      <c r="B293" s="19" t="s">
        <v>434</v>
      </c>
      <c r="C293" s="20">
        <v>3915576.72</v>
      </c>
      <c r="D293" s="20">
        <v>113844.8187</v>
      </c>
      <c r="E293" s="20">
        <v>497149.08140000002</v>
      </c>
      <c r="F293" s="20">
        <v>0</v>
      </c>
      <c r="G293" s="20">
        <v>4526570.6201999998</v>
      </c>
      <c r="H293" s="19" t="s">
        <v>122</v>
      </c>
      <c r="I293" s="106">
        <v>40.423999999999999</v>
      </c>
      <c r="J293" s="106">
        <v>0</v>
      </c>
      <c r="K293" s="106">
        <v>0</v>
      </c>
      <c r="L293" s="106">
        <v>24.5</v>
      </c>
      <c r="M293" s="106">
        <v>3.69</v>
      </c>
      <c r="N293" s="106">
        <v>0.33</v>
      </c>
      <c r="O293" s="106">
        <v>0</v>
      </c>
      <c r="P293" s="106">
        <v>-1.21</v>
      </c>
      <c r="Q293" s="106">
        <v>2.41</v>
      </c>
      <c r="R293" s="106">
        <v>1</v>
      </c>
      <c r="S293" s="106">
        <v>1</v>
      </c>
      <c r="T293" s="106">
        <v>3</v>
      </c>
      <c r="U293" s="106">
        <v>5.7040000000000006</v>
      </c>
      <c r="V293" s="106">
        <v>0</v>
      </c>
      <c r="W293" s="106">
        <v>0</v>
      </c>
      <c r="X293" s="106">
        <v>0</v>
      </c>
      <c r="Y293" s="106">
        <v>0</v>
      </c>
      <c r="Z293" s="106">
        <v>0</v>
      </c>
      <c r="AA293" s="106">
        <v>0</v>
      </c>
      <c r="AB293" s="106">
        <v>0</v>
      </c>
      <c r="AC293" s="106">
        <v>0</v>
      </c>
      <c r="AD293" s="19">
        <v>0</v>
      </c>
    </row>
    <row r="294" spans="1:30" x14ac:dyDescent="0.2">
      <c r="A294" s="19" t="s">
        <v>431</v>
      </c>
      <c r="B294" s="19" t="s">
        <v>431</v>
      </c>
      <c r="C294" s="20">
        <v>9234369.7799999993</v>
      </c>
      <c r="D294" s="20">
        <v>377889.51240000001</v>
      </c>
      <c r="E294" s="20">
        <v>1216985.7757000001</v>
      </c>
      <c r="F294" s="20">
        <v>734711.56480000005</v>
      </c>
      <c r="G294" s="20">
        <v>11563956.6329</v>
      </c>
      <c r="H294" s="19" t="s">
        <v>122</v>
      </c>
      <c r="I294" s="106">
        <v>95.475999999999999</v>
      </c>
      <c r="J294" s="106">
        <v>5.7951733333333335</v>
      </c>
      <c r="K294" s="106">
        <v>10.74</v>
      </c>
      <c r="L294" s="106">
        <v>45.65</v>
      </c>
      <c r="M294" s="106">
        <v>11.07</v>
      </c>
      <c r="N294" s="106">
        <v>1.67</v>
      </c>
      <c r="O294" s="106">
        <v>0</v>
      </c>
      <c r="P294" s="106">
        <v>-1.53</v>
      </c>
      <c r="Q294" s="106">
        <v>3.05</v>
      </c>
      <c r="R294" s="106">
        <v>3</v>
      </c>
      <c r="S294" s="106">
        <v>1</v>
      </c>
      <c r="T294" s="106">
        <v>7</v>
      </c>
      <c r="U294" s="106">
        <v>13.826000000000001</v>
      </c>
      <c r="V294" s="106">
        <v>1</v>
      </c>
      <c r="W294" s="106">
        <v>1</v>
      </c>
      <c r="X294" s="106">
        <v>0</v>
      </c>
      <c r="Y294" s="106">
        <v>0</v>
      </c>
      <c r="Z294" s="106">
        <v>0.63650666666666667</v>
      </c>
      <c r="AA294" s="106">
        <v>1</v>
      </c>
      <c r="AB294" s="106">
        <v>1</v>
      </c>
      <c r="AC294" s="106">
        <v>0.15866666666666668</v>
      </c>
      <c r="AD294" s="19">
        <v>1</v>
      </c>
    </row>
    <row r="295" spans="1:30" x14ac:dyDescent="0.2">
      <c r="A295" s="19" t="s">
        <v>435</v>
      </c>
      <c r="B295" s="19" t="s">
        <v>435</v>
      </c>
      <c r="C295" s="20">
        <v>3895961.1</v>
      </c>
      <c r="D295" s="20">
        <v>502853.8273</v>
      </c>
      <c r="E295" s="20">
        <v>702914.05810000002</v>
      </c>
      <c r="F295" s="20">
        <v>679832.70640000002</v>
      </c>
      <c r="G295" s="20">
        <v>5781561.6918000001</v>
      </c>
      <c r="H295" s="19" t="s">
        <v>122</v>
      </c>
      <c r="I295" s="106">
        <v>40.22</v>
      </c>
      <c r="J295" s="106">
        <v>5.3203999999999994</v>
      </c>
      <c r="K295" s="106">
        <v>14.01</v>
      </c>
      <c r="L295" s="106">
        <v>6.2</v>
      </c>
      <c r="M295" s="106">
        <v>1.31</v>
      </c>
      <c r="N295" s="106">
        <v>2.83</v>
      </c>
      <c r="O295" s="106">
        <v>5</v>
      </c>
      <c r="P295" s="106">
        <v>0</v>
      </c>
      <c r="Q295" s="106">
        <v>0</v>
      </c>
      <c r="R295" s="106">
        <v>1</v>
      </c>
      <c r="S295" s="106">
        <v>1</v>
      </c>
      <c r="T295" s="106">
        <v>3</v>
      </c>
      <c r="U295" s="106">
        <v>5.870000000000001</v>
      </c>
      <c r="V295" s="106">
        <v>1</v>
      </c>
      <c r="W295" s="106">
        <v>1</v>
      </c>
      <c r="X295" s="106">
        <v>0</v>
      </c>
      <c r="Y295" s="106">
        <v>0</v>
      </c>
      <c r="Z295" s="106">
        <v>0.26813333333333333</v>
      </c>
      <c r="AA295" s="106">
        <v>1</v>
      </c>
      <c r="AB295" s="106">
        <v>1</v>
      </c>
      <c r="AC295" s="106">
        <v>5.226666666666667E-2</v>
      </c>
      <c r="AD295" s="19">
        <v>1</v>
      </c>
    </row>
    <row r="296" spans="1:30" x14ac:dyDescent="0.2">
      <c r="A296" s="19" t="s">
        <v>19</v>
      </c>
      <c r="B296" s="19" t="s">
        <v>19</v>
      </c>
      <c r="C296" s="20">
        <v>1558141233.4200001</v>
      </c>
      <c r="D296" s="20">
        <v>163000000</v>
      </c>
      <c r="E296" s="20">
        <v>279026800</v>
      </c>
      <c r="F296" s="20">
        <v>59393838.136500001</v>
      </c>
      <c r="G296" s="20">
        <v>2059561871.5565</v>
      </c>
      <c r="H296" s="19" t="s">
        <v>122</v>
      </c>
      <c r="I296" s="106">
        <v>16165.964</v>
      </c>
      <c r="J296" s="106">
        <v>445.58495999999997</v>
      </c>
      <c r="K296" s="106">
        <v>2100.9299999999998</v>
      </c>
      <c r="L296" s="106">
        <v>4001.05</v>
      </c>
      <c r="M296" s="106">
        <v>1660</v>
      </c>
      <c r="N296" s="106">
        <v>1155.5</v>
      </c>
      <c r="O296" s="106">
        <v>2454.23</v>
      </c>
      <c r="P296" s="106">
        <v>-419.68</v>
      </c>
      <c r="Q296" s="106">
        <v>839.2</v>
      </c>
      <c r="R296" s="106">
        <v>249</v>
      </c>
      <c r="S296" s="106">
        <v>477</v>
      </c>
      <c r="T296" s="106">
        <v>1294</v>
      </c>
      <c r="U296" s="106">
        <v>2354.7340000000004</v>
      </c>
      <c r="V296" s="106">
        <v>43</v>
      </c>
      <c r="W296" s="106">
        <v>43</v>
      </c>
      <c r="X296" s="106">
        <v>25.97</v>
      </c>
      <c r="Y296" s="106">
        <v>75</v>
      </c>
      <c r="Z296" s="106">
        <v>107.77309333333334</v>
      </c>
      <c r="AA296" s="106">
        <v>43</v>
      </c>
      <c r="AB296" s="106">
        <v>46</v>
      </c>
      <c r="AC296" s="106">
        <v>18.841866666666668</v>
      </c>
      <c r="AD296" s="19">
        <v>43</v>
      </c>
    </row>
    <row r="297" spans="1:30" x14ac:dyDescent="0.2">
      <c r="A297" s="19"/>
      <c r="B297" s="19"/>
      <c r="C297" s="20"/>
      <c r="D297" s="20"/>
      <c r="E297" s="20"/>
      <c r="F297" s="20"/>
      <c r="G297" s="20"/>
      <c r="H297" s="19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  <c r="AA297" s="106"/>
      <c r="AB297" s="106"/>
      <c r="AC297" s="106"/>
      <c r="AD297" s="19"/>
    </row>
    <row r="298" spans="1:30" s="16" customFormat="1" x14ac:dyDescent="0.2">
      <c r="A298" s="18" t="s">
        <v>436</v>
      </c>
      <c r="B298" s="18" t="s">
        <v>437</v>
      </c>
      <c r="C298" s="21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21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21">
        <f t="shared" si="0"/>
        <v>279026800.00010002</v>
      </c>
      <c r="F298" s="21">
        <f t="shared" si="0"/>
        <v>59350050.034099996</v>
      </c>
      <c r="G298" s="21">
        <f t="shared" si="0"/>
        <v>2059542122.204</v>
      </c>
      <c r="H298" s="18"/>
      <c r="I298" s="104">
        <f t="shared" si="0"/>
        <v>16166.213999999998</v>
      </c>
      <c r="J298" s="104">
        <f t="shared" si="0"/>
        <v>445.20420000000001</v>
      </c>
      <c r="K298" s="104">
        <f t="shared" si="0"/>
        <v>2100.89</v>
      </c>
      <c r="L298" s="104">
        <f t="shared" si="0"/>
        <v>4001.0499999999997</v>
      </c>
      <c r="M298" s="104">
        <f t="shared" si="0"/>
        <v>1659.99</v>
      </c>
      <c r="N298" s="104">
        <f t="shared" si="0"/>
        <v>1155.4699999999998</v>
      </c>
      <c r="O298" s="104">
        <f t="shared" si="0"/>
        <v>2454.2200000000003</v>
      </c>
      <c r="P298" s="104">
        <f t="shared" si="0"/>
        <v>-420.03</v>
      </c>
      <c r="Q298" s="104">
        <f t="shared" si="0"/>
        <v>839.8900000000001</v>
      </c>
      <c r="R298" s="104">
        <f t="shared" si="0"/>
        <v>249</v>
      </c>
      <c r="S298" s="104">
        <f t="shared" si="0"/>
        <v>477</v>
      </c>
      <c r="T298" s="104">
        <f t="shared" si="0"/>
        <v>1294</v>
      </c>
      <c r="U298" s="104">
        <f t="shared" si="0"/>
        <v>2354.7340000000004</v>
      </c>
      <c r="V298" s="104">
        <f t="shared" si="0"/>
        <v>43</v>
      </c>
      <c r="W298" s="104">
        <f t="shared" si="0"/>
        <v>43</v>
      </c>
      <c r="X298" s="104">
        <f t="shared" si="0"/>
        <v>25.97</v>
      </c>
      <c r="Y298" s="104">
        <f t="shared" si="0"/>
        <v>75</v>
      </c>
      <c r="Z298" s="104">
        <f t="shared" si="0"/>
        <v>107.45593333333333</v>
      </c>
      <c r="AA298" s="104">
        <f t="shared" si="0"/>
        <v>43</v>
      </c>
      <c r="AB298" s="104">
        <f t="shared" si="0"/>
        <v>46</v>
      </c>
      <c r="AC298" s="104">
        <f t="shared" si="0"/>
        <v>18.778266666666671</v>
      </c>
      <c r="AD298" s="104">
        <f t="shared" si="0"/>
        <v>43</v>
      </c>
    </row>
    <row r="299" spans="1:30" s="16" customFormat="1" x14ac:dyDescent="0.2">
      <c r="A299" s="18" t="s">
        <v>436</v>
      </c>
      <c r="B299" s="18" t="s">
        <v>438</v>
      </c>
      <c r="C299" s="21">
        <v>1558141233.4200001</v>
      </c>
      <c r="D299" s="21">
        <v>163000000</v>
      </c>
      <c r="E299" s="21">
        <v>279026800</v>
      </c>
      <c r="F299" s="21">
        <v>59393838.136500001</v>
      </c>
      <c r="G299" s="21">
        <v>2059561871.5565</v>
      </c>
      <c r="H299" s="18"/>
      <c r="I299" s="105">
        <v>16165.964</v>
      </c>
      <c r="J299" s="105">
        <v>445.58495999999997</v>
      </c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  <c r="AA299" s="105"/>
      <c r="AB299" s="105"/>
      <c r="AC299" s="105"/>
      <c r="AD299" s="18"/>
    </row>
    <row r="300" spans="1:30" s="16" customFormat="1" x14ac:dyDescent="0.2">
      <c r="A300" s="18" t="s">
        <v>436</v>
      </c>
      <c r="B300" s="18" t="s">
        <v>439</v>
      </c>
      <c r="C300" s="21">
        <f>C299 - C298</f>
        <v>-24038.749999761581</v>
      </c>
      <c r="D300" s="21">
        <f>D299 - D298</f>
        <v>-2.0000338554382324E-4</v>
      </c>
      <c r="E300" s="21">
        <f>E299 - E298</f>
        <v>-1.0001659393310547E-4</v>
      </c>
      <c r="F300" s="21">
        <f>F299 - F298</f>
        <v>43788.102400004864</v>
      </c>
      <c r="G300" s="21">
        <f>G299 - G298</f>
        <v>19749.352499961853</v>
      </c>
      <c r="H300" s="18"/>
      <c r="I300" s="105">
        <f>I299 - I298</f>
        <v>-0.24999999999818101</v>
      </c>
      <c r="J300" s="105">
        <f>J299 - J298</f>
        <v>0.38075999999995247</v>
      </c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  <c r="AA300" s="105"/>
      <c r="AB300" s="105"/>
      <c r="AC300" s="105"/>
      <c r="AD300" s="1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baseColWidth="10" defaultColWidth="8.83203125" defaultRowHeight="15" x14ac:dyDescent="0.2"/>
  <cols>
    <col min="1" max="1" width="54.6640625" bestFit="1" customWidth="1"/>
  </cols>
  <sheetData>
    <row r="1" spans="1:1" s="16" customFormat="1" x14ac:dyDescent="0.2">
      <c r="A1" s="16" t="s">
        <v>440</v>
      </c>
    </row>
    <row r="2" spans="1:1" x14ac:dyDescent="0.2">
      <c r="A2" t="s">
        <v>441</v>
      </c>
    </row>
    <row r="4" spans="1:1" s="16" customFormat="1" x14ac:dyDescent="0.2">
      <c r="A4" s="16" t="s">
        <v>442</v>
      </c>
    </row>
    <row r="5" spans="1:1" x14ac:dyDescent="0.2">
      <c r="A5" t="s">
        <v>441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workbookViewId="0">
      <pane ySplit="1" topLeftCell="A65" activePane="bottomLeft" state="frozen"/>
      <selection pane="bottomLeft" activeCell="I20" sqref="I20"/>
    </sheetView>
  </sheetViews>
  <sheetFormatPr baseColWidth="10" defaultColWidth="20" defaultRowHeight="15" x14ac:dyDescent="0.2"/>
  <cols>
    <col min="1" max="1" width="56.1640625" bestFit="1" customWidth="1"/>
    <col min="2" max="2" width="42.5" customWidth="1"/>
    <col min="3" max="3" width="12.5" customWidth="1"/>
    <col min="4" max="4" width="19.1640625" customWidth="1"/>
    <col min="5" max="5" width="15" customWidth="1"/>
    <col min="6" max="6" width="16.5" customWidth="1"/>
    <col min="7" max="7" width="17.83203125" customWidth="1"/>
    <col min="8" max="8" width="10.5" customWidth="1"/>
    <col min="9" max="9" width="10.5" style="1" customWidth="1"/>
    <col min="10" max="10" width="17.5" style="1" customWidth="1"/>
    <col min="11" max="11" width="19.83203125" style="1" customWidth="1"/>
    <col min="12" max="12" width="10.5" style="2" customWidth="1"/>
    <col min="13" max="13" width="8" customWidth="1"/>
    <col min="14" max="14" width="27" style="95" bestFit="1" customWidth="1"/>
    <col min="15" max="15" width="20" style="1" customWidth="1"/>
    <col min="16" max="16" width="20.1640625" style="1" bestFit="1" customWidth="1"/>
    <col min="17" max="17" width="22.5" style="1" bestFit="1" customWidth="1"/>
    <col min="18" max="18" width="27.1640625" style="1" bestFit="1" customWidth="1"/>
    <col min="19" max="19" width="24.6640625" style="1" bestFit="1" customWidth="1"/>
    <col min="20" max="20" width="20" style="1"/>
    <col min="21" max="21" width="25.83203125" style="1" bestFit="1" customWidth="1"/>
  </cols>
  <sheetData>
    <row r="1" spans="1:21" x14ac:dyDescent="0.2">
      <c r="A1" t="s">
        <v>443</v>
      </c>
      <c r="B1" s="3" t="s">
        <v>444</v>
      </c>
      <c r="C1" s="3" t="s">
        <v>34</v>
      </c>
      <c r="D1" s="3" t="s">
        <v>36</v>
      </c>
      <c r="E1" s="3" t="s">
        <v>13</v>
      </c>
      <c r="F1" s="3" t="s">
        <v>14</v>
      </c>
      <c r="G1" s="3" t="s">
        <v>15</v>
      </c>
      <c r="H1" s="3" t="s">
        <v>5</v>
      </c>
      <c r="I1" s="5" t="s">
        <v>445</v>
      </c>
      <c r="J1" s="5" t="s">
        <v>41</v>
      </c>
      <c r="K1" s="5" t="s">
        <v>43</v>
      </c>
      <c r="L1" s="4" t="s">
        <v>8</v>
      </c>
      <c r="M1" s="3" t="s">
        <v>9</v>
      </c>
      <c r="N1" s="94" t="s">
        <v>16</v>
      </c>
      <c r="O1" s="1" t="s">
        <v>44</v>
      </c>
      <c r="P1" s="1" t="s">
        <v>46</v>
      </c>
      <c r="Q1" s="1" t="s">
        <v>50</v>
      </c>
      <c r="R1" s="1" t="s">
        <v>446</v>
      </c>
      <c r="S1" s="1" t="s">
        <v>69</v>
      </c>
      <c r="T1" s="1" t="s">
        <v>71</v>
      </c>
      <c r="U1" s="1" t="s">
        <v>447</v>
      </c>
    </row>
    <row r="2" spans="1:21" x14ac:dyDescent="0.2">
      <c r="A2" s="80" t="s">
        <v>372</v>
      </c>
      <c r="B2" s="99" t="s">
        <v>373</v>
      </c>
      <c r="C2" s="100">
        <v>373</v>
      </c>
      <c r="D2" s="100">
        <v>195</v>
      </c>
      <c r="E2" s="100">
        <v>20</v>
      </c>
      <c r="F2" s="100">
        <v>15</v>
      </c>
      <c r="G2" s="100">
        <v>3</v>
      </c>
      <c r="H2" s="100">
        <v>606</v>
      </c>
      <c r="I2" s="101">
        <v>38.799999999999997</v>
      </c>
      <c r="J2" s="101">
        <v>0</v>
      </c>
      <c r="K2" s="101">
        <v>0</v>
      </c>
      <c r="L2" s="102">
        <v>199</v>
      </c>
      <c r="M2" s="100">
        <v>308</v>
      </c>
      <c r="N2" s="103">
        <v>0</v>
      </c>
      <c r="O2" s="76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">
      <c r="A3" s="80" t="s">
        <v>372</v>
      </c>
      <c r="B3" s="99" t="s">
        <v>374</v>
      </c>
      <c r="C3" s="100">
        <v>0</v>
      </c>
      <c r="D3" s="100">
        <v>281</v>
      </c>
      <c r="E3" s="100">
        <v>28</v>
      </c>
      <c r="F3" s="100">
        <v>4</v>
      </c>
      <c r="G3" s="100">
        <v>4</v>
      </c>
      <c r="H3" s="100">
        <v>317</v>
      </c>
      <c r="I3" s="101">
        <v>19.59</v>
      </c>
      <c r="J3" s="101">
        <v>0</v>
      </c>
      <c r="K3" s="101">
        <v>0</v>
      </c>
      <c r="L3" s="102">
        <v>104</v>
      </c>
      <c r="M3" s="100">
        <v>224</v>
      </c>
      <c r="N3" s="103">
        <v>0</v>
      </c>
      <c r="O3" s="76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85" customFormat="1" x14ac:dyDescent="0.2">
      <c r="A4" s="85" t="s">
        <v>372</v>
      </c>
      <c r="B4" s="85" t="s">
        <v>372</v>
      </c>
      <c r="C4" s="86">
        <v>373</v>
      </c>
      <c r="D4" s="86">
        <v>476</v>
      </c>
      <c r="E4" s="85">
        <v>48</v>
      </c>
      <c r="F4" s="86">
        <v>19</v>
      </c>
      <c r="G4" s="86">
        <v>7</v>
      </c>
      <c r="H4" s="86">
        <v>923</v>
      </c>
      <c r="I4" s="87">
        <v>58.39</v>
      </c>
      <c r="J4" s="87">
        <v>0</v>
      </c>
      <c r="K4" s="87">
        <v>0</v>
      </c>
      <c r="L4" s="86">
        <v>303</v>
      </c>
      <c r="M4" s="86">
        <v>532</v>
      </c>
      <c r="N4" s="86">
        <f>ROUND(_xlfn.XLOOKUP(B4,'CTE Data'!A:A,'CTE Data'!B:B,0)*H4,0)</f>
        <v>0</v>
      </c>
      <c r="O4" s="88">
        <f>SUM(O2:O3)</f>
        <v>2</v>
      </c>
      <c r="P4" s="88">
        <f t="shared" ref="P4:R4" si="2">SUM(P2:P3)</f>
        <v>1</v>
      </c>
      <c r="Q4" s="88">
        <f t="shared" si="2"/>
        <v>11.678000000000001</v>
      </c>
      <c r="R4" s="88">
        <f t="shared" si="2"/>
        <v>6</v>
      </c>
      <c r="S4" s="87">
        <f t="shared" si="0"/>
        <v>0</v>
      </c>
      <c r="T4" s="87">
        <f t="shared" si="1"/>
        <v>0</v>
      </c>
      <c r="U4" s="87">
        <f>MAX(1,1+INT((I4-500)/500))</f>
        <v>1</v>
      </c>
    </row>
    <row r="5" spans="1:21" x14ac:dyDescent="0.2">
      <c r="A5" s="80" t="s">
        <v>375</v>
      </c>
      <c r="B5" s="80" t="s">
        <v>376</v>
      </c>
      <c r="C5" s="81">
        <v>136</v>
      </c>
      <c r="D5" s="81">
        <v>0</v>
      </c>
      <c r="E5" s="80">
        <v>17</v>
      </c>
      <c r="F5" s="81">
        <v>11</v>
      </c>
      <c r="G5" s="81">
        <v>6</v>
      </c>
      <c r="H5" s="81">
        <v>170</v>
      </c>
      <c r="I5" s="83">
        <v>14.56</v>
      </c>
      <c r="J5" s="83">
        <v>0</v>
      </c>
      <c r="K5" s="83">
        <v>0</v>
      </c>
      <c r="L5" s="81">
        <v>79</v>
      </c>
      <c r="M5" s="81">
        <v>26</v>
      </c>
      <c r="N5" s="81">
        <v>0</v>
      </c>
      <c r="O5" s="76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">
      <c r="A6" s="80" t="s">
        <v>375</v>
      </c>
      <c r="B6" s="80" t="s">
        <v>377</v>
      </c>
      <c r="C6" s="81">
        <v>49</v>
      </c>
      <c r="D6" s="81">
        <v>179</v>
      </c>
      <c r="E6" s="80">
        <v>35</v>
      </c>
      <c r="F6" s="81">
        <v>16</v>
      </c>
      <c r="G6" s="81">
        <v>5</v>
      </c>
      <c r="H6" s="81">
        <v>284</v>
      </c>
      <c r="I6" s="83">
        <v>20.73</v>
      </c>
      <c r="J6" s="83">
        <v>0</v>
      </c>
      <c r="K6" s="83">
        <v>0</v>
      </c>
      <c r="L6" s="81">
        <v>101</v>
      </c>
      <c r="M6" s="81">
        <v>31</v>
      </c>
      <c r="N6" s="81">
        <v>0</v>
      </c>
      <c r="O6" s="76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85" customFormat="1" x14ac:dyDescent="0.2">
      <c r="A7" s="85" t="s">
        <v>375</v>
      </c>
      <c r="B7" s="85" t="s">
        <v>375</v>
      </c>
      <c r="C7" s="86">
        <v>185</v>
      </c>
      <c r="D7" s="86">
        <v>179</v>
      </c>
      <c r="E7" s="85">
        <v>52</v>
      </c>
      <c r="F7" s="86">
        <v>27</v>
      </c>
      <c r="G7" s="86">
        <v>11</v>
      </c>
      <c r="H7" s="86">
        <v>454</v>
      </c>
      <c r="I7" s="87">
        <v>35.29</v>
      </c>
      <c r="J7" s="87">
        <v>0</v>
      </c>
      <c r="K7" s="87">
        <v>0</v>
      </c>
      <c r="L7" s="86">
        <v>180</v>
      </c>
      <c r="M7" s="86">
        <v>57</v>
      </c>
      <c r="N7" s="86">
        <f>ROUND(_xlfn.XLOOKUP(B7,'CTE Data'!A:A,'CTE Data'!B:B,0)*H7,0)</f>
        <v>0</v>
      </c>
      <c r="O7" s="88">
        <f>SUM(O5:O6)</f>
        <v>2</v>
      </c>
      <c r="P7" s="88">
        <f t="shared" ref="P7" si="3">SUM(P5:P6)</f>
        <v>0</v>
      </c>
      <c r="Q7" s="88">
        <f t="shared" ref="Q7" si="4">SUM(Q5:Q6)</f>
        <v>7.0579999999999998</v>
      </c>
      <c r="R7" s="88">
        <f t="shared" ref="R7" si="5">SUM(R5:R6)</f>
        <v>3</v>
      </c>
      <c r="S7" s="87">
        <f t="shared" si="0"/>
        <v>0</v>
      </c>
      <c r="T7" s="87">
        <f t="shared" si="1"/>
        <v>0</v>
      </c>
      <c r="U7" s="87">
        <f>MAX(1,1+INT((I7-500)/500))</f>
        <v>1</v>
      </c>
    </row>
    <row r="8" spans="1:21" x14ac:dyDescent="0.2">
      <c r="A8" s="80" t="s">
        <v>120</v>
      </c>
      <c r="B8" s="80" t="s">
        <v>121</v>
      </c>
      <c r="C8" s="81">
        <v>0</v>
      </c>
      <c r="D8" s="81">
        <v>1090</v>
      </c>
      <c r="E8" s="81">
        <v>135</v>
      </c>
      <c r="F8" s="81">
        <v>11</v>
      </c>
      <c r="G8" s="81">
        <v>63</v>
      </c>
      <c r="H8" s="81">
        <v>1299</v>
      </c>
      <c r="I8" s="82">
        <v>108.42</v>
      </c>
      <c r="J8" s="82">
        <v>-11.8</v>
      </c>
      <c r="K8" s="82">
        <v>23.59</v>
      </c>
      <c r="L8" s="81">
        <v>149</v>
      </c>
      <c r="M8" s="81">
        <v>58</v>
      </c>
      <c r="N8" s="81">
        <f>ROUND(_xlfn.XLOOKUP(B8,'CTE Data'!A:A,'CTE Data'!B:B,0)*H8,0)</f>
        <v>398</v>
      </c>
      <c r="O8" s="76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">
      <c r="A9" s="80" t="s">
        <v>120</v>
      </c>
      <c r="B9" s="80" t="s">
        <v>123</v>
      </c>
      <c r="C9" s="81">
        <v>0</v>
      </c>
      <c r="D9" s="81">
        <v>0</v>
      </c>
      <c r="E9" s="81">
        <v>40</v>
      </c>
      <c r="F9" s="81">
        <v>69</v>
      </c>
      <c r="G9" s="81">
        <v>33</v>
      </c>
      <c r="H9" s="81">
        <v>142</v>
      </c>
      <c r="I9" s="82">
        <v>28.95</v>
      </c>
      <c r="J9" s="82">
        <v>0</v>
      </c>
      <c r="K9" s="82">
        <v>0</v>
      </c>
      <c r="L9" s="81">
        <v>21</v>
      </c>
      <c r="M9" s="81">
        <v>0</v>
      </c>
      <c r="N9" s="81">
        <f>ROUND(_xlfn.XLOOKUP(B9,'CTE Data'!A:A,'CTE Data'!B:B,0)*H9,0)</f>
        <v>0</v>
      </c>
      <c r="O9" s="76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">
      <c r="A10" s="80" t="s">
        <v>120</v>
      </c>
      <c r="B10" s="80" t="s">
        <v>124</v>
      </c>
      <c r="C10" s="81">
        <v>198</v>
      </c>
      <c r="D10" s="81">
        <v>0</v>
      </c>
      <c r="E10" s="81">
        <v>15</v>
      </c>
      <c r="F10" s="81">
        <v>67</v>
      </c>
      <c r="G10" s="81">
        <v>27</v>
      </c>
      <c r="H10" s="81">
        <v>307</v>
      </c>
      <c r="I10" s="82">
        <v>35.56</v>
      </c>
      <c r="J10" s="82">
        <v>0</v>
      </c>
      <c r="K10" s="82">
        <v>0</v>
      </c>
      <c r="L10" s="81">
        <v>42</v>
      </c>
      <c r="M10" s="81">
        <v>15</v>
      </c>
      <c r="N10" s="81">
        <f>ROUND(_xlfn.XLOOKUP(B10,'CTE Data'!A:A,'CTE Data'!B:B,0)*H10,0)</f>
        <v>0</v>
      </c>
      <c r="O10" s="76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">
      <c r="A11" s="80" t="s">
        <v>120</v>
      </c>
      <c r="B11" s="80" t="s">
        <v>125</v>
      </c>
      <c r="C11" s="81">
        <v>263</v>
      </c>
      <c r="D11" s="81">
        <v>163</v>
      </c>
      <c r="E11" s="81">
        <v>43</v>
      </c>
      <c r="F11" s="81">
        <v>40</v>
      </c>
      <c r="G11" s="81">
        <v>15</v>
      </c>
      <c r="H11" s="81">
        <v>524</v>
      </c>
      <c r="I11" s="82">
        <v>41.94</v>
      </c>
      <c r="J11" s="82">
        <v>0</v>
      </c>
      <c r="K11" s="82">
        <v>0</v>
      </c>
      <c r="L11" s="81">
        <v>96</v>
      </c>
      <c r="M11" s="81">
        <v>29</v>
      </c>
      <c r="N11" s="81">
        <f>ROUND(_xlfn.XLOOKUP(B11,'CTE Data'!A:A,'CTE Data'!B:B,0)*H11,0)</f>
        <v>0</v>
      </c>
      <c r="O11" s="76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">
      <c r="A12" s="80" t="s">
        <v>120</v>
      </c>
      <c r="B12" s="80" t="s">
        <v>126</v>
      </c>
      <c r="C12" s="81">
        <v>271</v>
      </c>
      <c r="D12" s="81">
        <v>179</v>
      </c>
      <c r="E12" s="81">
        <v>28</v>
      </c>
      <c r="F12" s="81">
        <v>20</v>
      </c>
      <c r="G12" s="81">
        <v>37</v>
      </c>
      <c r="H12" s="81">
        <v>535</v>
      </c>
      <c r="I12" s="82">
        <v>46.57</v>
      </c>
      <c r="J12" s="82">
        <v>0</v>
      </c>
      <c r="K12" s="82">
        <v>0</v>
      </c>
      <c r="L12" s="81">
        <v>96</v>
      </c>
      <c r="M12" s="81">
        <v>42</v>
      </c>
      <c r="N12" s="81">
        <f>ROUND(_xlfn.XLOOKUP(B12,'CTE Data'!A:A,'CTE Data'!B:B,0)*H12,0)</f>
        <v>0</v>
      </c>
      <c r="O12" s="76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">
      <c r="A13" s="80" t="s">
        <v>120</v>
      </c>
      <c r="B13" s="80" t="s">
        <v>127</v>
      </c>
      <c r="C13" s="81">
        <v>0</v>
      </c>
      <c r="D13" s="81">
        <v>683</v>
      </c>
      <c r="E13" s="81">
        <v>100</v>
      </c>
      <c r="F13" s="81">
        <v>29</v>
      </c>
      <c r="G13" s="81">
        <v>23</v>
      </c>
      <c r="H13" s="81">
        <v>835</v>
      </c>
      <c r="I13" s="82">
        <v>63.84</v>
      </c>
      <c r="J13" s="82">
        <v>-4.12</v>
      </c>
      <c r="K13" s="82">
        <v>8.23</v>
      </c>
      <c r="L13" s="81">
        <v>76</v>
      </c>
      <c r="M13" s="81">
        <v>19</v>
      </c>
      <c r="N13" s="81">
        <f>ROUND(_xlfn.XLOOKUP(B13,'CTE Data'!A:A,'CTE Data'!B:B,0)*H13,0)</f>
        <v>0</v>
      </c>
      <c r="O13" s="76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">
      <c r="A14" s="80" t="s">
        <v>120</v>
      </c>
      <c r="B14" s="80" t="s">
        <v>128</v>
      </c>
      <c r="C14" s="81">
        <v>242</v>
      </c>
      <c r="D14" s="81">
        <v>0</v>
      </c>
      <c r="E14" s="81">
        <v>5</v>
      </c>
      <c r="F14" s="81">
        <v>15</v>
      </c>
      <c r="G14" s="81">
        <v>8</v>
      </c>
      <c r="H14" s="81">
        <v>270</v>
      </c>
      <c r="I14" s="82">
        <v>21.12</v>
      </c>
      <c r="J14" s="82">
        <v>0</v>
      </c>
      <c r="K14" s="82">
        <v>0</v>
      </c>
      <c r="L14" s="81">
        <v>13</v>
      </c>
      <c r="M14" s="81">
        <v>31</v>
      </c>
      <c r="N14" s="81">
        <f>ROUND(_xlfn.XLOOKUP(B14,'CTE Data'!A:A,'CTE Data'!B:B,0)*H14,0)</f>
        <v>0</v>
      </c>
      <c r="O14" s="76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">
      <c r="A15" s="80" t="s">
        <v>120</v>
      </c>
      <c r="B15" s="80" t="s">
        <v>129</v>
      </c>
      <c r="C15" s="81">
        <v>315</v>
      </c>
      <c r="D15" s="81">
        <v>226</v>
      </c>
      <c r="E15" s="81">
        <v>38</v>
      </c>
      <c r="F15" s="81">
        <v>20</v>
      </c>
      <c r="G15" s="81">
        <v>26</v>
      </c>
      <c r="H15" s="81">
        <v>625</v>
      </c>
      <c r="I15" s="82">
        <v>48.59</v>
      </c>
      <c r="J15" s="82">
        <v>0</v>
      </c>
      <c r="K15" s="82">
        <v>0</v>
      </c>
      <c r="L15" s="81">
        <v>25</v>
      </c>
      <c r="M15" s="81">
        <v>35</v>
      </c>
      <c r="N15" s="81">
        <f>ROUND(_xlfn.XLOOKUP(B15,'CTE Data'!A:A,'CTE Data'!B:B,0)*H15,0)</f>
        <v>0</v>
      </c>
      <c r="O15" s="76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">
      <c r="A16" s="80" t="s">
        <v>120</v>
      </c>
      <c r="B16" s="80" t="s">
        <v>130</v>
      </c>
      <c r="C16" s="81">
        <v>220</v>
      </c>
      <c r="D16" s="81">
        <v>146</v>
      </c>
      <c r="E16" s="81">
        <v>26</v>
      </c>
      <c r="F16" s="81">
        <v>11</v>
      </c>
      <c r="G16" s="81">
        <v>24</v>
      </c>
      <c r="H16" s="81">
        <v>427</v>
      </c>
      <c r="I16" s="82">
        <v>35.04</v>
      </c>
      <c r="J16" s="82">
        <v>0</v>
      </c>
      <c r="K16" s="82">
        <v>0</v>
      </c>
      <c r="L16" s="81">
        <v>30</v>
      </c>
      <c r="M16" s="81">
        <v>14</v>
      </c>
      <c r="N16" s="81">
        <f>ROUND(_xlfn.XLOOKUP(B16,'CTE Data'!A:A,'CTE Data'!B:B,0)*H16,0)</f>
        <v>0</v>
      </c>
      <c r="O16" s="76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">
      <c r="A17" s="80" t="s">
        <v>120</v>
      </c>
      <c r="B17" s="80" t="s">
        <v>131</v>
      </c>
      <c r="C17" s="81">
        <v>263</v>
      </c>
      <c r="D17" s="81">
        <v>206</v>
      </c>
      <c r="E17" s="81">
        <v>38</v>
      </c>
      <c r="F17" s="81">
        <v>19</v>
      </c>
      <c r="G17" s="81">
        <v>36</v>
      </c>
      <c r="H17" s="81">
        <v>562</v>
      </c>
      <c r="I17" s="82">
        <v>48.07</v>
      </c>
      <c r="J17" s="82">
        <v>0</v>
      </c>
      <c r="K17" s="82">
        <v>0</v>
      </c>
      <c r="L17" s="81">
        <v>34</v>
      </c>
      <c r="M17" s="81">
        <v>45</v>
      </c>
      <c r="N17" s="81">
        <f>ROUND(_xlfn.XLOOKUP(B17,'CTE Data'!A:A,'CTE Data'!B:B,0)*H17,0)</f>
        <v>0</v>
      </c>
      <c r="O17" s="76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">
      <c r="A18" s="80" t="s">
        <v>120</v>
      </c>
      <c r="B18" s="80" t="s">
        <v>132</v>
      </c>
      <c r="C18" s="81">
        <v>260</v>
      </c>
      <c r="D18" s="81">
        <v>193</v>
      </c>
      <c r="E18" s="81">
        <v>25</v>
      </c>
      <c r="F18" s="81">
        <v>12</v>
      </c>
      <c r="G18" s="81">
        <v>9</v>
      </c>
      <c r="H18" s="81">
        <v>499</v>
      </c>
      <c r="I18" s="82">
        <v>34.14</v>
      </c>
      <c r="J18" s="82">
        <v>0</v>
      </c>
      <c r="K18" s="82">
        <v>0</v>
      </c>
      <c r="L18" s="81">
        <v>46</v>
      </c>
      <c r="M18" s="81">
        <v>39</v>
      </c>
      <c r="N18" s="81">
        <f>ROUND(_xlfn.XLOOKUP(B18,'CTE Data'!A:A,'CTE Data'!B:B,0)*H18,0)</f>
        <v>0</v>
      </c>
      <c r="O18" s="76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">
      <c r="A19" s="80" t="s">
        <v>120</v>
      </c>
      <c r="B19" s="80" t="s">
        <v>133</v>
      </c>
      <c r="C19" s="81">
        <v>0</v>
      </c>
      <c r="D19" s="81">
        <v>687</v>
      </c>
      <c r="E19" s="81">
        <v>102</v>
      </c>
      <c r="F19" s="81">
        <v>13</v>
      </c>
      <c r="G19" s="81">
        <v>13</v>
      </c>
      <c r="H19" s="81">
        <v>815</v>
      </c>
      <c r="I19" s="82">
        <v>57.74</v>
      </c>
      <c r="J19" s="82">
        <v>-4.08</v>
      </c>
      <c r="K19" s="82">
        <v>8.16</v>
      </c>
      <c r="L19" s="81">
        <v>94</v>
      </c>
      <c r="M19" s="81">
        <v>39</v>
      </c>
      <c r="N19" s="81">
        <f>ROUND(_xlfn.XLOOKUP(B19,'CTE Data'!A:A,'CTE Data'!B:B,0)*H19,0)</f>
        <v>221</v>
      </c>
      <c r="O19" s="76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">
      <c r="A20" s="80" t="s">
        <v>120</v>
      </c>
      <c r="B20" s="80" t="s">
        <v>134</v>
      </c>
      <c r="C20" s="81">
        <v>0</v>
      </c>
      <c r="D20" s="81">
        <v>1008</v>
      </c>
      <c r="E20" s="81">
        <v>121</v>
      </c>
      <c r="F20" s="81">
        <v>26</v>
      </c>
      <c r="G20" s="81">
        <v>55</v>
      </c>
      <c r="H20" s="81">
        <v>1210</v>
      </c>
      <c r="I20" s="82">
        <v>101.46</v>
      </c>
      <c r="J20" s="82">
        <v>-11.19</v>
      </c>
      <c r="K20" s="82">
        <v>22.37</v>
      </c>
      <c r="L20" s="81">
        <v>130</v>
      </c>
      <c r="M20" s="81">
        <v>38</v>
      </c>
      <c r="N20" s="81">
        <f>ROUND(_xlfn.XLOOKUP(B20,'CTE Data'!A:A,'CTE Data'!B:B,0)*H20,0)</f>
        <v>378</v>
      </c>
      <c r="O20" s="76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">
      <c r="A21" s="80" t="s">
        <v>120</v>
      </c>
      <c r="B21" s="80" t="s">
        <v>135</v>
      </c>
      <c r="C21" s="81">
        <v>0</v>
      </c>
      <c r="D21" s="81">
        <v>1092</v>
      </c>
      <c r="E21" s="81">
        <v>137</v>
      </c>
      <c r="F21" s="81">
        <v>20</v>
      </c>
      <c r="G21" s="81">
        <v>11</v>
      </c>
      <c r="H21" s="81">
        <v>1260</v>
      </c>
      <c r="I21" s="82">
        <v>90.43</v>
      </c>
      <c r="J21" s="82">
        <v>-11.96</v>
      </c>
      <c r="K21" s="82">
        <v>23.92</v>
      </c>
      <c r="L21" s="81">
        <v>106</v>
      </c>
      <c r="M21" s="81">
        <v>19</v>
      </c>
      <c r="N21" s="81">
        <f>ROUND(_xlfn.XLOOKUP(B21,'CTE Data'!A:A,'CTE Data'!B:B,0)*H21,0)</f>
        <v>370</v>
      </c>
      <c r="O21" s="76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">
      <c r="A22" s="80" t="s">
        <v>120</v>
      </c>
      <c r="B22" s="80" t="s">
        <v>136</v>
      </c>
      <c r="C22" s="81">
        <v>388</v>
      </c>
      <c r="D22" s="81">
        <v>267</v>
      </c>
      <c r="E22" s="81">
        <v>46</v>
      </c>
      <c r="F22" s="81">
        <v>27</v>
      </c>
      <c r="G22" s="81">
        <v>31</v>
      </c>
      <c r="H22" s="81">
        <v>759</v>
      </c>
      <c r="I22" s="82">
        <v>59.2</v>
      </c>
      <c r="J22" s="82">
        <v>0</v>
      </c>
      <c r="K22" s="82">
        <v>0</v>
      </c>
      <c r="L22" s="81">
        <v>73</v>
      </c>
      <c r="M22" s="81">
        <v>9</v>
      </c>
      <c r="N22" s="81">
        <f>ROUND(_xlfn.XLOOKUP(B22,'CTE Data'!A:A,'CTE Data'!B:B,0)*H22,0)</f>
        <v>0</v>
      </c>
      <c r="O22" s="76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">
      <c r="A23" s="80" t="s">
        <v>120</v>
      </c>
      <c r="B23" s="80" t="s">
        <v>137</v>
      </c>
      <c r="C23" s="81">
        <v>0</v>
      </c>
      <c r="D23" s="81">
        <v>419</v>
      </c>
      <c r="E23" s="81">
        <v>81</v>
      </c>
      <c r="F23" s="81">
        <v>19</v>
      </c>
      <c r="G23" s="81">
        <v>29</v>
      </c>
      <c r="H23" s="81">
        <v>548</v>
      </c>
      <c r="I23" s="82">
        <v>47.19</v>
      </c>
      <c r="J23" s="82">
        <v>-2.29</v>
      </c>
      <c r="K23" s="82">
        <v>4.57</v>
      </c>
      <c r="L23" s="81">
        <v>114</v>
      </c>
      <c r="M23" s="81">
        <v>28</v>
      </c>
      <c r="N23" s="81">
        <f>ROUND(_xlfn.XLOOKUP(B23,'CTE Data'!A:A,'CTE Data'!B:B,0)*H23,0)</f>
        <v>84</v>
      </c>
      <c r="O23" s="76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">
      <c r="A24" s="80" t="s">
        <v>120</v>
      </c>
      <c r="B24" s="80" t="s">
        <v>138</v>
      </c>
      <c r="C24" s="81">
        <v>265</v>
      </c>
      <c r="D24" s="81">
        <v>210</v>
      </c>
      <c r="E24" s="81">
        <v>36</v>
      </c>
      <c r="F24" s="81">
        <v>14</v>
      </c>
      <c r="G24" s="81">
        <v>12</v>
      </c>
      <c r="H24" s="81">
        <v>537</v>
      </c>
      <c r="I24" s="82">
        <v>38.1</v>
      </c>
      <c r="J24" s="82">
        <v>0</v>
      </c>
      <c r="K24" s="82">
        <v>0</v>
      </c>
      <c r="L24" s="81">
        <v>100</v>
      </c>
      <c r="M24" s="81">
        <v>32</v>
      </c>
      <c r="N24" s="81">
        <f>ROUND(_xlfn.XLOOKUP(B24,'CTE Data'!A:A,'CTE Data'!B:B,0)*H24,0)</f>
        <v>0</v>
      </c>
      <c r="O24" s="76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">
      <c r="A25" s="80" t="s">
        <v>120</v>
      </c>
      <c r="B25" s="80" t="s">
        <v>139</v>
      </c>
      <c r="C25" s="81">
        <v>161</v>
      </c>
      <c r="D25" s="81">
        <v>0</v>
      </c>
      <c r="E25" s="81">
        <v>3</v>
      </c>
      <c r="F25" s="81">
        <v>8</v>
      </c>
      <c r="G25" s="81">
        <v>27</v>
      </c>
      <c r="H25" s="81">
        <v>199</v>
      </c>
      <c r="I25" s="82">
        <v>22.01</v>
      </c>
      <c r="J25" s="82">
        <v>0</v>
      </c>
      <c r="K25" s="82">
        <v>0</v>
      </c>
      <c r="L25" s="81">
        <v>22</v>
      </c>
      <c r="M25" s="81">
        <v>2</v>
      </c>
      <c r="N25" s="81">
        <f>ROUND(_xlfn.XLOOKUP(B25,'CTE Data'!A:A,'CTE Data'!B:B,0)*H25,0)</f>
        <v>0</v>
      </c>
      <c r="O25" s="76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">
      <c r="A26" s="80" t="s">
        <v>120</v>
      </c>
      <c r="B26" s="80" t="s">
        <v>140</v>
      </c>
      <c r="C26" s="81">
        <v>164</v>
      </c>
      <c r="D26" s="81">
        <v>0</v>
      </c>
      <c r="E26" s="81">
        <v>2</v>
      </c>
      <c r="F26" s="81">
        <v>7</v>
      </c>
      <c r="G26" s="81">
        <v>19</v>
      </c>
      <c r="H26" s="81">
        <v>192</v>
      </c>
      <c r="I26" s="82">
        <v>18.84</v>
      </c>
      <c r="J26" s="82">
        <v>0</v>
      </c>
      <c r="K26" s="82">
        <v>0</v>
      </c>
      <c r="L26" s="81">
        <v>33</v>
      </c>
      <c r="M26" s="81">
        <v>10</v>
      </c>
      <c r="N26" s="81">
        <f>ROUND(_xlfn.XLOOKUP(B26,'CTE Data'!A:A,'CTE Data'!B:B,0)*H26,0)</f>
        <v>0</v>
      </c>
      <c r="O26" s="76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">
      <c r="A27" s="80" t="s">
        <v>120</v>
      </c>
      <c r="B27" s="80" t="s">
        <v>141</v>
      </c>
      <c r="C27" s="81">
        <v>244</v>
      </c>
      <c r="D27" s="81">
        <v>144</v>
      </c>
      <c r="E27" s="81">
        <v>37</v>
      </c>
      <c r="F27" s="81">
        <v>13</v>
      </c>
      <c r="G27" s="81">
        <v>6</v>
      </c>
      <c r="H27" s="81">
        <v>444</v>
      </c>
      <c r="I27" s="82">
        <v>31.14</v>
      </c>
      <c r="J27" s="82">
        <v>0</v>
      </c>
      <c r="K27" s="82">
        <v>0</v>
      </c>
      <c r="L27" s="81">
        <v>44</v>
      </c>
      <c r="M27" s="81">
        <v>18</v>
      </c>
      <c r="N27" s="81">
        <f>ROUND(_xlfn.XLOOKUP(B27,'CTE Data'!A:A,'CTE Data'!B:B,0)*H27,0)</f>
        <v>0</v>
      </c>
      <c r="O27" s="76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">
      <c r="A28" s="80" t="s">
        <v>120</v>
      </c>
      <c r="B28" s="80" t="s">
        <v>142</v>
      </c>
      <c r="C28" s="81">
        <v>0</v>
      </c>
      <c r="D28" s="81">
        <v>841</v>
      </c>
      <c r="E28" s="81">
        <v>85</v>
      </c>
      <c r="F28" s="81">
        <v>23</v>
      </c>
      <c r="G28" s="81">
        <v>20</v>
      </c>
      <c r="H28" s="81">
        <v>969</v>
      </c>
      <c r="I28" s="82">
        <v>68.430000000000007</v>
      </c>
      <c r="J28" s="82">
        <v>-4.75</v>
      </c>
      <c r="K28" s="82">
        <v>9.49</v>
      </c>
      <c r="L28" s="81">
        <v>51</v>
      </c>
      <c r="M28" s="81">
        <v>29</v>
      </c>
      <c r="N28" s="81">
        <f>ROUND(_xlfn.XLOOKUP(B28,'CTE Data'!A:A,'CTE Data'!B:B,0)*H28,0)</f>
        <v>276</v>
      </c>
      <c r="O28" s="76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85" customFormat="1" x14ac:dyDescent="0.2">
      <c r="A29" s="85" t="s">
        <v>120</v>
      </c>
      <c r="B29" s="85" t="s">
        <v>143</v>
      </c>
      <c r="C29" s="86">
        <v>3254</v>
      </c>
      <c r="D29" s="86">
        <v>7554</v>
      </c>
      <c r="E29" s="86">
        <v>1143</v>
      </c>
      <c r="F29" s="86">
        <v>483</v>
      </c>
      <c r="G29" s="86">
        <v>524</v>
      </c>
      <c r="H29" s="86">
        <v>12958</v>
      </c>
      <c r="I29" s="88">
        <v>1046.83</v>
      </c>
      <c r="J29" s="88">
        <v>-50.16</v>
      </c>
      <c r="K29" s="88">
        <v>100.32</v>
      </c>
      <c r="L29" s="86">
        <v>1395</v>
      </c>
      <c r="M29" s="85">
        <v>551</v>
      </c>
      <c r="N29" s="86">
        <f>SUM(N8:N28)</f>
        <v>1727</v>
      </c>
      <c r="O29" s="88">
        <f>SUM(O8:O28)</f>
        <v>21</v>
      </c>
      <c r="P29" s="88">
        <f t="shared" ref="P29:R29" si="9">SUM(P8:P28)</f>
        <v>44</v>
      </c>
      <c r="Q29" s="88">
        <f t="shared" si="9"/>
        <v>209.35600000000002</v>
      </c>
      <c r="R29" s="88">
        <f t="shared" si="9"/>
        <v>115</v>
      </c>
      <c r="S29" s="87">
        <f t="shared" si="0"/>
        <v>2</v>
      </c>
      <c r="T29" s="87">
        <f t="shared" si="1"/>
        <v>6</v>
      </c>
      <c r="U29" s="87">
        <f>MAX(1,1+INT((I29-500)/500))</f>
        <v>2</v>
      </c>
    </row>
    <row r="30" spans="1:21" x14ac:dyDescent="0.2">
      <c r="A30" s="80" t="s">
        <v>145</v>
      </c>
      <c r="B30" s="80" t="s">
        <v>146</v>
      </c>
      <c r="C30" s="81">
        <v>0</v>
      </c>
      <c r="D30" s="81">
        <v>690</v>
      </c>
      <c r="E30" s="81">
        <v>115</v>
      </c>
      <c r="F30" s="81">
        <v>33</v>
      </c>
      <c r="G30" s="81">
        <v>24</v>
      </c>
      <c r="H30" s="81">
        <v>862</v>
      </c>
      <c r="I30" s="82">
        <v>67.27</v>
      </c>
      <c r="J30" s="82">
        <v>-4.3499999999999996</v>
      </c>
      <c r="K30" s="82">
        <v>8.6999999999999993</v>
      </c>
      <c r="L30" s="81">
        <v>208</v>
      </c>
      <c r="M30" s="81">
        <v>55</v>
      </c>
      <c r="N30" s="81">
        <f>ROUND(_xlfn.XLOOKUP(B30,'CTE Data'!A:A,'CTE Data'!B:B,0)*H30,0)</f>
        <v>112</v>
      </c>
      <c r="O30" s="76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">
      <c r="A31" s="80" t="s">
        <v>145</v>
      </c>
      <c r="B31" s="80" t="s">
        <v>147</v>
      </c>
      <c r="C31" s="81">
        <v>0</v>
      </c>
      <c r="D31" s="81">
        <v>0</v>
      </c>
      <c r="E31" s="81">
        <v>107</v>
      </c>
      <c r="F31" s="81">
        <v>75</v>
      </c>
      <c r="G31" s="81">
        <v>98</v>
      </c>
      <c r="H31" s="81">
        <v>280</v>
      </c>
      <c r="I31" s="82">
        <v>62.93</v>
      </c>
      <c r="J31" s="82">
        <v>0</v>
      </c>
      <c r="K31" s="82">
        <v>0</v>
      </c>
      <c r="L31" s="81">
        <v>72</v>
      </c>
      <c r="M31" s="81">
        <v>0</v>
      </c>
      <c r="N31" s="81">
        <f>ROUND(_xlfn.XLOOKUP(B31,'CTE Data'!A:A,'CTE Data'!B:B,0)*H31,0)</f>
        <v>0</v>
      </c>
      <c r="O31" s="76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">
      <c r="A32" s="80" t="s">
        <v>145</v>
      </c>
      <c r="B32" s="80" t="s">
        <v>148</v>
      </c>
      <c r="C32" s="81">
        <v>264</v>
      </c>
      <c r="D32" s="81">
        <v>122</v>
      </c>
      <c r="E32" s="81">
        <v>38</v>
      </c>
      <c r="F32" s="81">
        <v>19</v>
      </c>
      <c r="G32" s="81">
        <v>14</v>
      </c>
      <c r="H32" s="81">
        <v>457</v>
      </c>
      <c r="I32" s="82">
        <v>35.47</v>
      </c>
      <c r="J32" s="82">
        <v>0</v>
      </c>
      <c r="K32" s="82">
        <v>0</v>
      </c>
      <c r="L32" s="81">
        <v>146</v>
      </c>
      <c r="M32" s="81">
        <v>24</v>
      </c>
      <c r="N32" s="81">
        <f>ROUND(_xlfn.XLOOKUP(B32,'CTE Data'!A:A,'CTE Data'!B:B,0)*H32,0)</f>
        <v>0</v>
      </c>
      <c r="O32" s="76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">
      <c r="A33" s="80" t="s">
        <v>145</v>
      </c>
      <c r="B33" s="80" t="s">
        <v>149</v>
      </c>
      <c r="C33" s="81">
        <v>409</v>
      </c>
      <c r="D33" s="81">
        <v>344</v>
      </c>
      <c r="E33" s="81">
        <v>43</v>
      </c>
      <c r="F33" s="81">
        <v>59</v>
      </c>
      <c r="G33" s="81">
        <v>57</v>
      </c>
      <c r="H33" s="81">
        <v>912</v>
      </c>
      <c r="I33" s="82">
        <v>79.319999999999993</v>
      </c>
      <c r="J33" s="82">
        <v>0</v>
      </c>
      <c r="K33" s="82">
        <v>0</v>
      </c>
      <c r="L33" s="81">
        <v>270</v>
      </c>
      <c r="M33" s="81">
        <v>160</v>
      </c>
      <c r="N33" s="81">
        <f>ROUND(_xlfn.XLOOKUP(B33,'CTE Data'!A:A,'CTE Data'!B:B,0)*H33,0)</f>
        <v>0</v>
      </c>
      <c r="O33" s="76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">
      <c r="A34" s="80" t="s">
        <v>145</v>
      </c>
      <c r="B34" s="80" t="s">
        <v>150</v>
      </c>
      <c r="C34" s="81">
        <v>0</v>
      </c>
      <c r="D34" s="81">
        <v>806</v>
      </c>
      <c r="E34" s="81">
        <v>95</v>
      </c>
      <c r="F34" s="81">
        <v>45</v>
      </c>
      <c r="G34" s="81">
        <v>51</v>
      </c>
      <c r="H34" s="81">
        <v>997</v>
      </c>
      <c r="I34" s="82">
        <v>82.94</v>
      </c>
      <c r="J34" s="82">
        <v>-4.21</v>
      </c>
      <c r="K34" s="82">
        <v>8.42</v>
      </c>
      <c r="L34" s="81">
        <v>202</v>
      </c>
      <c r="M34" s="81">
        <v>33</v>
      </c>
      <c r="N34" s="81">
        <f>ROUND(_xlfn.XLOOKUP(B34,'CTE Data'!A:A,'CTE Data'!B:B,0)*H34,0)</f>
        <v>103</v>
      </c>
      <c r="O34" s="76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">
      <c r="A35" s="80" t="s">
        <v>145</v>
      </c>
      <c r="B35" s="80" t="s">
        <v>151</v>
      </c>
      <c r="C35" s="81">
        <v>0</v>
      </c>
      <c r="D35" s="81">
        <v>526</v>
      </c>
      <c r="E35" s="81">
        <v>72</v>
      </c>
      <c r="F35" s="81">
        <v>36</v>
      </c>
      <c r="G35" s="81">
        <v>23</v>
      </c>
      <c r="H35" s="81">
        <v>657</v>
      </c>
      <c r="I35" s="82">
        <v>52.87</v>
      </c>
      <c r="J35" s="82">
        <v>-3.15</v>
      </c>
      <c r="K35" s="82">
        <v>6.3</v>
      </c>
      <c r="L35" s="81">
        <v>179</v>
      </c>
      <c r="M35" s="81">
        <v>25</v>
      </c>
      <c r="N35" s="81">
        <f>ROUND(_xlfn.XLOOKUP(B35,'CTE Data'!A:A,'CTE Data'!B:B,0)*H35,0)</f>
        <v>82</v>
      </c>
      <c r="O35" s="76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">
      <c r="A36" s="80" t="s">
        <v>145</v>
      </c>
      <c r="B36" s="80" t="s">
        <v>152</v>
      </c>
      <c r="C36" s="81">
        <v>204</v>
      </c>
      <c r="D36" s="81">
        <v>90</v>
      </c>
      <c r="E36" s="81">
        <v>43</v>
      </c>
      <c r="F36" s="81">
        <v>11</v>
      </c>
      <c r="G36" s="81">
        <v>38</v>
      </c>
      <c r="H36" s="81">
        <v>386</v>
      </c>
      <c r="I36" s="82">
        <v>38.659999999999997</v>
      </c>
      <c r="J36" s="82">
        <v>0</v>
      </c>
      <c r="K36" s="82">
        <v>0</v>
      </c>
      <c r="L36" s="81">
        <v>76</v>
      </c>
      <c r="M36" s="81">
        <v>27</v>
      </c>
      <c r="N36" s="81">
        <f>ROUND(_xlfn.XLOOKUP(B36,'CTE Data'!A:A,'CTE Data'!B:B,0)*H36,0)</f>
        <v>0</v>
      </c>
      <c r="O36" s="76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">
      <c r="A37" s="80" t="s">
        <v>145</v>
      </c>
      <c r="B37" s="80" t="s">
        <v>153</v>
      </c>
      <c r="C37" s="81">
        <v>288</v>
      </c>
      <c r="D37" s="81">
        <v>127</v>
      </c>
      <c r="E37" s="81">
        <v>38</v>
      </c>
      <c r="F37" s="81">
        <v>23</v>
      </c>
      <c r="G37" s="81">
        <v>24</v>
      </c>
      <c r="H37" s="81">
        <v>500</v>
      </c>
      <c r="I37" s="82">
        <v>41.71</v>
      </c>
      <c r="J37" s="82">
        <v>0</v>
      </c>
      <c r="K37" s="82">
        <v>0</v>
      </c>
      <c r="L37" s="81">
        <v>86</v>
      </c>
      <c r="M37" s="81">
        <v>24</v>
      </c>
      <c r="N37" s="81">
        <f>ROUND(_xlfn.XLOOKUP(B37,'CTE Data'!A:A,'CTE Data'!B:B,0)*H37,0)</f>
        <v>0</v>
      </c>
      <c r="O37" s="76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">
      <c r="A38" s="80" t="s">
        <v>145</v>
      </c>
      <c r="B38" s="80" t="s">
        <v>154</v>
      </c>
      <c r="C38" s="81">
        <v>157</v>
      </c>
      <c r="D38" s="81">
        <v>72</v>
      </c>
      <c r="E38" s="81">
        <v>31</v>
      </c>
      <c r="F38" s="81">
        <v>22</v>
      </c>
      <c r="G38" s="81">
        <v>58</v>
      </c>
      <c r="H38" s="81">
        <v>340</v>
      </c>
      <c r="I38" s="82">
        <v>42.96</v>
      </c>
      <c r="J38" s="82">
        <v>0</v>
      </c>
      <c r="K38" s="82">
        <v>0</v>
      </c>
      <c r="L38" s="81">
        <v>154</v>
      </c>
      <c r="M38" s="81">
        <v>13</v>
      </c>
      <c r="N38" s="81">
        <f>ROUND(_xlfn.XLOOKUP(B38,'CTE Data'!A:A,'CTE Data'!B:B,0)*H38,0)</f>
        <v>0</v>
      </c>
      <c r="O38" s="76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">
      <c r="A39" s="80" t="s">
        <v>145</v>
      </c>
      <c r="B39" s="80" t="s">
        <v>155</v>
      </c>
      <c r="C39" s="81">
        <v>308</v>
      </c>
      <c r="D39" s="81">
        <v>141</v>
      </c>
      <c r="E39" s="81">
        <v>38</v>
      </c>
      <c r="F39" s="81">
        <v>28</v>
      </c>
      <c r="G39" s="81">
        <v>8</v>
      </c>
      <c r="H39" s="81">
        <v>523</v>
      </c>
      <c r="I39" s="82">
        <v>38.33</v>
      </c>
      <c r="J39" s="82">
        <v>0</v>
      </c>
      <c r="K39" s="82">
        <v>0</v>
      </c>
      <c r="L39" s="81">
        <v>83</v>
      </c>
      <c r="M39" s="81">
        <v>35</v>
      </c>
      <c r="N39" s="81">
        <f>ROUND(_xlfn.XLOOKUP(B39,'CTE Data'!A:A,'CTE Data'!B:B,0)*H39,0)</f>
        <v>0</v>
      </c>
      <c r="O39" s="76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">
      <c r="A40" s="80" t="s">
        <v>145</v>
      </c>
      <c r="B40" s="80" t="s">
        <v>156</v>
      </c>
      <c r="C40" s="81">
        <v>258</v>
      </c>
      <c r="D40" s="81">
        <v>107</v>
      </c>
      <c r="E40" s="81">
        <v>45</v>
      </c>
      <c r="F40" s="81">
        <v>21</v>
      </c>
      <c r="G40" s="81">
        <v>20</v>
      </c>
      <c r="H40" s="81">
        <v>451</v>
      </c>
      <c r="I40" s="82">
        <v>37.83</v>
      </c>
      <c r="J40" s="82">
        <v>0</v>
      </c>
      <c r="K40" s="82">
        <v>0</v>
      </c>
      <c r="L40" s="81">
        <v>91</v>
      </c>
      <c r="M40" s="81">
        <v>18</v>
      </c>
      <c r="N40" s="81">
        <f>ROUND(_xlfn.XLOOKUP(B40,'CTE Data'!A:A,'CTE Data'!B:B,0)*H40,0)</f>
        <v>0</v>
      </c>
      <c r="O40" s="76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">
      <c r="A41" s="80" t="s">
        <v>145</v>
      </c>
      <c r="B41" s="80" t="s">
        <v>157</v>
      </c>
      <c r="C41" s="81">
        <v>191</v>
      </c>
      <c r="D41" s="81">
        <v>101</v>
      </c>
      <c r="E41" s="81">
        <v>28</v>
      </c>
      <c r="F41" s="81">
        <v>12</v>
      </c>
      <c r="G41" s="81">
        <v>38</v>
      </c>
      <c r="H41" s="81">
        <v>370</v>
      </c>
      <c r="I41" s="82">
        <v>36.79</v>
      </c>
      <c r="J41" s="82">
        <v>0</v>
      </c>
      <c r="K41" s="82">
        <v>0</v>
      </c>
      <c r="L41" s="81">
        <v>113</v>
      </c>
      <c r="M41" s="81">
        <v>37</v>
      </c>
      <c r="N41" s="81">
        <f>ROUND(_xlfn.XLOOKUP(B41,'CTE Data'!A:A,'CTE Data'!B:B,0)*H41,0)</f>
        <v>0</v>
      </c>
      <c r="O41" s="76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">
      <c r="A42" s="80" t="s">
        <v>145</v>
      </c>
      <c r="B42" s="80" t="s">
        <v>158</v>
      </c>
      <c r="C42" s="81">
        <v>421</v>
      </c>
      <c r="D42" s="81">
        <v>116</v>
      </c>
      <c r="E42" s="81">
        <v>44</v>
      </c>
      <c r="F42" s="81">
        <v>56</v>
      </c>
      <c r="G42" s="81">
        <v>17</v>
      </c>
      <c r="H42" s="81">
        <v>654</v>
      </c>
      <c r="I42" s="82">
        <v>52.9</v>
      </c>
      <c r="J42" s="82">
        <v>0</v>
      </c>
      <c r="K42" s="82">
        <v>0</v>
      </c>
      <c r="L42" s="81">
        <v>190</v>
      </c>
      <c r="M42" s="81">
        <v>36</v>
      </c>
      <c r="N42" s="81">
        <f>ROUND(_xlfn.XLOOKUP(B42,'CTE Data'!A:A,'CTE Data'!B:B,0)*H42,0)</f>
        <v>0</v>
      </c>
      <c r="O42" s="76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">
      <c r="A43" s="80" t="s">
        <v>145</v>
      </c>
      <c r="B43" s="80" t="s">
        <v>159</v>
      </c>
      <c r="C43" s="81">
        <v>0</v>
      </c>
      <c r="D43" s="81">
        <v>829</v>
      </c>
      <c r="E43" s="81">
        <v>121</v>
      </c>
      <c r="F43" s="81">
        <v>32</v>
      </c>
      <c r="G43" s="81">
        <v>37</v>
      </c>
      <c r="H43" s="81">
        <v>1019</v>
      </c>
      <c r="I43" s="82">
        <v>79.67</v>
      </c>
      <c r="J43" s="82">
        <v>-4.26</v>
      </c>
      <c r="K43" s="82">
        <v>8.52</v>
      </c>
      <c r="L43" s="81">
        <v>230</v>
      </c>
      <c r="M43" s="81">
        <v>54</v>
      </c>
      <c r="N43" s="81">
        <f>ROUND(_xlfn.XLOOKUP(B43,'CTE Data'!A:A,'CTE Data'!B:B,0)*H43,0)</f>
        <v>116</v>
      </c>
      <c r="O43" s="76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">
      <c r="A44" s="80" t="s">
        <v>145</v>
      </c>
      <c r="B44" s="80" t="s">
        <v>160</v>
      </c>
      <c r="C44" s="81">
        <v>0</v>
      </c>
      <c r="D44" s="81">
        <v>596</v>
      </c>
      <c r="E44" s="81">
        <v>115</v>
      </c>
      <c r="F44" s="81">
        <v>17</v>
      </c>
      <c r="G44" s="81">
        <v>40</v>
      </c>
      <c r="H44" s="81">
        <v>768</v>
      </c>
      <c r="I44" s="82">
        <v>64.489999999999995</v>
      </c>
      <c r="J44" s="82">
        <v>-2.79</v>
      </c>
      <c r="K44" s="82">
        <v>5.58</v>
      </c>
      <c r="L44" s="81">
        <v>176</v>
      </c>
      <c r="M44" s="81">
        <v>30</v>
      </c>
      <c r="N44" s="81">
        <f>ROUND(_xlfn.XLOOKUP(B44,'CTE Data'!A:A,'CTE Data'!B:B,0)*H44,0)</f>
        <v>106</v>
      </c>
      <c r="O44" s="76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">
      <c r="A45" s="80" t="s">
        <v>145</v>
      </c>
      <c r="B45" s="80" t="s">
        <v>161</v>
      </c>
      <c r="C45" s="81">
        <v>0</v>
      </c>
      <c r="D45" s="81">
        <v>725</v>
      </c>
      <c r="E45" s="81">
        <v>87</v>
      </c>
      <c r="F45" s="81">
        <v>54</v>
      </c>
      <c r="G45" s="81">
        <v>28</v>
      </c>
      <c r="H45" s="81">
        <v>894</v>
      </c>
      <c r="I45" s="82">
        <v>71.17</v>
      </c>
      <c r="J45" s="82">
        <v>-4.79</v>
      </c>
      <c r="K45" s="82">
        <v>9.58</v>
      </c>
      <c r="L45" s="81">
        <v>233</v>
      </c>
      <c r="M45" s="81">
        <v>71</v>
      </c>
      <c r="N45" s="81">
        <f>ROUND(_xlfn.XLOOKUP(B45,'CTE Data'!A:A,'CTE Data'!B:B,0)*H45,0)</f>
        <v>141</v>
      </c>
      <c r="O45" s="76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85" customFormat="1" x14ac:dyDescent="0.2">
      <c r="A46" s="85" t="s">
        <v>145</v>
      </c>
      <c r="B46" s="85" t="s">
        <v>162</v>
      </c>
      <c r="C46" s="86">
        <v>2500</v>
      </c>
      <c r="D46" s="86">
        <v>5392</v>
      </c>
      <c r="E46" s="86">
        <v>1060</v>
      </c>
      <c r="F46" s="86">
        <v>543</v>
      </c>
      <c r="G46" s="86">
        <v>575</v>
      </c>
      <c r="H46" s="86">
        <v>10070</v>
      </c>
      <c r="I46" s="88">
        <v>885.3</v>
      </c>
      <c r="J46" s="88">
        <v>-23.55</v>
      </c>
      <c r="K46" s="88">
        <v>47.09</v>
      </c>
      <c r="L46" s="86">
        <v>2509</v>
      </c>
      <c r="M46" s="85">
        <v>642</v>
      </c>
      <c r="N46" s="86">
        <f>SUM(N30:N45)</f>
        <v>660</v>
      </c>
      <c r="O46" s="88">
        <f>SUM(O30:O45)</f>
        <v>16</v>
      </c>
      <c r="P46" s="88">
        <f t="shared" ref="P46:R46" si="14">SUM(P30:P45)</f>
        <v>37</v>
      </c>
      <c r="Q46" s="88">
        <f t="shared" si="14"/>
        <v>177.06200000000001</v>
      </c>
      <c r="R46" s="88">
        <f t="shared" si="14"/>
        <v>100</v>
      </c>
      <c r="S46" s="87">
        <f t="shared" si="0"/>
        <v>2</v>
      </c>
      <c r="T46" s="87">
        <f t="shared" si="13"/>
        <v>6</v>
      </c>
      <c r="U46" s="87">
        <f>MAX(1,1+INT((I46-500)/500))</f>
        <v>1</v>
      </c>
    </row>
    <row r="47" spans="1:21" s="85" customFormat="1" x14ac:dyDescent="0.2">
      <c r="A47" s="85" t="s">
        <v>378</v>
      </c>
      <c r="B47" s="85" t="s">
        <v>378</v>
      </c>
      <c r="C47" s="86">
        <v>0</v>
      </c>
      <c r="D47" s="86">
        <v>84</v>
      </c>
      <c r="E47" s="85">
        <v>22</v>
      </c>
      <c r="F47" s="86">
        <v>13</v>
      </c>
      <c r="G47" s="86">
        <v>4</v>
      </c>
      <c r="H47" s="86">
        <v>123</v>
      </c>
      <c r="I47" s="87">
        <v>10.53</v>
      </c>
      <c r="J47" s="87">
        <v>0</v>
      </c>
      <c r="K47" s="87">
        <v>0</v>
      </c>
      <c r="L47" s="86">
        <v>41</v>
      </c>
      <c r="M47" s="86">
        <v>3</v>
      </c>
      <c r="N47" s="86">
        <f>ROUND(_xlfn.XLOOKUP(B47,'CTE Data'!A:A,'CTE Data'!B:B,0)*H47,0)</f>
        <v>0</v>
      </c>
      <c r="O47" s="88">
        <v>1</v>
      </c>
      <c r="P47" s="87">
        <f>ROUNDDOWN(IF(I47+Q47+R47&lt;15,0,IF(I47+Q47+R47&lt;25,0,IF(I47+Q47+R47&lt;30,0.65,IF(I47+Q47+R47&lt;50,1,IF(I47+Q47+R47&lt;55,1.65,2+(I47+Q47+R47-55)/20))))),0)</f>
        <v>0</v>
      </c>
      <c r="Q47" s="87">
        <f>I47*0.2</f>
        <v>2.1059999999999999</v>
      </c>
      <c r="R47" s="87">
        <f>ROUNDDOWN(IF(I47+O47+Q47&lt;100,INT((I47+O47+Q47)/10),10+INT(((I47+O47+Q47)-100)/12)),0)</f>
        <v>1</v>
      </c>
      <c r="S47" s="87">
        <f t="shared" si="0"/>
        <v>0</v>
      </c>
      <c r="T47" s="87">
        <f t="shared" si="13"/>
        <v>0</v>
      </c>
      <c r="U47" s="87">
        <v>1</v>
      </c>
    </row>
    <row r="48" spans="1:21" x14ac:dyDescent="0.2">
      <c r="A48" s="80" t="s">
        <v>379</v>
      </c>
      <c r="B48" s="80" t="s">
        <v>380</v>
      </c>
      <c r="C48" s="81">
        <v>153</v>
      </c>
      <c r="D48" s="81">
        <v>80</v>
      </c>
      <c r="E48" s="80">
        <v>20</v>
      </c>
      <c r="F48" s="81">
        <v>4</v>
      </c>
      <c r="G48" s="81">
        <v>6</v>
      </c>
      <c r="H48" s="81">
        <v>263</v>
      </c>
      <c r="I48" s="83">
        <v>18.8</v>
      </c>
      <c r="J48" s="83">
        <v>0</v>
      </c>
      <c r="K48" s="83">
        <v>0</v>
      </c>
      <c r="L48" s="81">
        <v>101</v>
      </c>
      <c r="M48" s="81">
        <v>4</v>
      </c>
      <c r="N48" s="81">
        <v>0</v>
      </c>
      <c r="O48" s="76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">
      <c r="A49" s="80" t="s">
        <v>379</v>
      </c>
      <c r="B49" s="80" t="s">
        <v>381</v>
      </c>
      <c r="C49" s="81">
        <v>0</v>
      </c>
      <c r="D49" s="81">
        <v>115</v>
      </c>
      <c r="E49" s="80">
        <v>19</v>
      </c>
      <c r="F49" s="81">
        <v>4</v>
      </c>
      <c r="G49" s="81">
        <v>1</v>
      </c>
      <c r="H49" s="81">
        <v>139</v>
      </c>
      <c r="I49" s="83">
        <v>9.1999999999999993</v>
      </c>
      <c r="J49" s="83">
        <v>-0.16</v>
      </c>
      <c r="K49" s="83">
        <v>0.31</v>
      </c>
      <c r="L49" s="81">
        <v>70</v>
      </c>
      <c r="M49" s="81">
        <v>1</v>
      </c>
      <c r="N49" s="81">
        <v>11</v>
      </c>
      <c r="O49" s="76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85" customFormat="1" x14ac:dyDescent="0.2">
      <c r="A50" s="85" t="s">
        <v>379</v>
      </c>
      <c r="B50" s="85" t="s">
        <v>379</v>
      </c>
      <c r="C50" s="86">
        <v>153</v>
      </c>
      <c r="D50" s="86">
        <v>195</v>
      </c>
      <c r="E50" s="85">
        <v>39</v>
      </c>
      <c r="F50" s="86">
        <v>8</v>
      </c>
      <c r="G50" s="86">
        <v>7</v>
      </c>
      <c r="H50" s="86">
        <v>402</v>
      </c>
      <c r="I50" s="87">
        <v>28</v>
      </c>
      <c r="J50" s="87">
        <v>-0.16</v>
      </c>
      <c r="K50" s="87">
        <v>0.31</v>
      </c>
      <c r="L50" s="86">
        <v>171</v>
      </c>
      <c r="M50" s="86">
        <v>5</v>
      </c>
      <c r="N50" s="86">
        <v>11</v>
      </c>
      <c r="O50" s="88">
        <f>SUM(O48:O49)</f>
        <v>2</v>
      </c>
      <c r="P50" s="88">
        <f t="shared" ref="P50" si="15">SUM(P48:P49)</f>
        <v>0</v>
      </c>
      <c r="Q50" s="88">
        <f t="shared" ref="Q50" si="16">SUM(Q48:Q49)</f>
        <v>5.6</v>
      </c>
      <c r="R50" s="88">
        <f t="shared" ref="R50" si="17">SUM(R48:R49)</f>
        <v>3</v>
      </c>
      <c r="S50" s="87">
        <f t="shared" si="0"/>
        <v>0</v>
      </c>
      <c r="T50" s="87">
        <f t="shared" si="13"/>
        <v>0</v>
      </c>
      <c r="U50" s="87">
        <f>MAX(1,1+INT((I50-500)/500))</f>
        <v>1</v>
      </c>
    </row>
    <row r="51" spans="1:21" x14ac:dyDescent="0.2">
      <c r="A51" s="80" t="s">
        <v>177</v>
      </c>
      <c r="B51" s="80" t="s">
        <v>178</v>
      </c>
      <c r="C51" s="81">
        <v>0</v>
      </c>
      <c r="D51" s="81">
        <v>410</v>
      </c>
      <c r="E51" s="81">
        <v>59</v>
      </c>
      <c r="F51" s="81">
        <v>15</v>
      </c>
      <c r="G51" s="81">
        <v>7</v>
      </c>
      <c r="H51" s="81">
        <v>491</v>
      </c>
      <c r="I51" s="82">
        <v>33.36</v>
      </c>
      <c r="J51" s="82">
        <v>-0.65</v>
      </c>
      <c r="K51" s="82">
        <v>1.3</v>
      </c>
      <c r="L51" s="81">
        <v>79</v>
      </c>
      <c r="M51" s="81">
        <v>26</v>
      </c>
      <c r="N51" s="81">
        <f>ROUND(_xlfn.XLOOKUP(B51,'CTE Data'!A:A,'CTE Data'!B:B,0)*H51,0)</f>
        <v>77</v>
      </c>
      <c r="O51" s="76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">
      <c r="A52" s="80" t="s">
        <v>177</v>
      </c>
      <c r="B52" s="80" t="s">
        <v>179</v>
      </c>
      <c r="C52" s="81">
        <v>0</v>
      </c>
      <c r="D52" s="81">
        <v>1636</v>
      </c>
      <c r="E52" s="81">
        <v>198</v>
      </c>
      <c r="F52" s="81">
        <v>35</v>
      </c>
      <c r="G52" s="81">
        <v>20</v>
      </c>
      <c r="H52" s="81">
        <v>1889</v>
      </c>
      <c r="I52" s="82">
        <v>128.49</v>
      </c>
      <c r="J52" s="82">
        <v>-9.6</v>
      </c>
      <c r="K52" s="82">
        <v>19.2</v>
      </c>
      <c r="L52" s="81">
        <v>278</v>
      </c>
      <c r="M52" s="81">
        <v>175</v>
      </c>
      <c r="N52" s="81">
        <f>ROUND(_xlfn.XLOOKUP(B52,'CTE Data'!A:A,'CTE Data'!B:B,0)*H52,0)</f>
        <v>270</v>
      </c>
      <c r="O52" s="76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">
      <c r="A53" s="80" t="s">
        <v>177</v>
      </c>
      <c r="B53" s="80" t="s">
        <v>180</v>
      </c>
      <c r="C53" s="81">
        <v>0</v>
      </c>
      <c r="D53" s="81">
        <v>412</v>
      </c>
      <c r="E53" s="81">
        <v>62</v>
      </c>
      <c r="F53" s="81">
        <v>20</v>
      </c>
      <c r="G53" s="81">
        <v>4</v>
      </c>
      <c r="H53" s="81">
        <v>498</v>
      </c>
      <c r="I53" s="82">
        <v>33.5</v>
      </c>
      <c r="J53" s="82">
        <v>-0.65</v>
      </c>
      <c r="K53" s="82">
        <v>1.3</v>
      </c>
      <c r="L53" s="81">
        <v>95</v>
      </c>
      <c r="M53" s="81">
        <v>31</v>
      </c>
      <c r="N53" s="81">
        <f>ROUND(_xlfn.XLOOKUP(B53,'CTE Data'!A:A,'CTE Data'!B:B,0)*H53,0)</f>
        <v>80</v>
      </c>
      <c r="O53" s="76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">
      <c r="A54" s="80" t="s">
        <v>177</v>
      </c>
      <c r="B54" s="80" t="s">
        <v>181</v>
      </c>
      <c r="C54" s="81">
        <v>286</v>
      </c>
      <c r="D54" s="81">
        <v>143</v>
      </c>
      <c r="E54" s="81">
        <v>31</v>
      </c>
      <c r="F54" s="81">
        <v>24</v>
      </c>
      <c r="G54" s="81">
        <v>10</v>
      </c>
      <c r="H54" s="81">
        <v>494</v>
      </c>
      <c r="I54" s="82">
        <v>36.340000000000003</v>
      </c>
      <c r="J54" s="82">
        <v>0</v>
      </c>
      <c r="K54" s="82">
        <v>0</v>
      </c>
      <c r="L54" s="81">
        <v>102</v>
      </c>
      <c r="M54" s="81">
        <v>49</v>
      </c>
      <c r="N54" s="81">
        <f>ROUND(_xlfn.XLOOKUP(B54,'CTE Data'!A:A,'CTE Data'!B:B,0)*H54,0)</f>
        <v>0</v>
      </c>
      <c r="O54" s="76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">
      <c r="A55" s="80" t="s">
        <v>177</v>
      </c>
      <c r="B55" s="80" t="s">
        <v>182</v>
      </c>
      <c r="C55" s="81">
        <v>337</v>
      </c>
      <c r="D55" s="81">
        <v>184</v>
      </c>
      <c r="E55" s="81">
        <v>57</v>
      </c>
      <c r="F55" s="81">
        <v>9</v>
      </c>
      <c r="G55" s="81">
        <v>7</v>
      </c>
      <c r="H55" s="81">
        <v>594</v>
      </c>
      <c r="I55" s="82">
        <v>40.98</v>
      </c>
      <c r="J55" s="82">
        <v>0</v>
      </c>
      <c r="K55" s="82">
        <v>0</v>
      </c>
      <c r="L55" s="81">
        <v>105</v>
      </c>
      <c r="M55" s="81">
        <v>75</v>
      </c>
      <c r="N55" s="81">
        <f>ROUND(_xlfn.XLOOKUP(B55,'CTE Data'!A:A,'CTE Data'!B:B,0)*H55,0)</f>
        <v>0</v>
      </c>
      <c r="O55" s="76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">
      <c r="A56" s="80" t="s">
        <v>177</v>
      </c>
      <c r="B56" s="80" t="s">
        <v>183</v>
      </c>
      <c r="C56" s="81">
        <v>375</v>
      </c>
      <c r="D56" s="81">
        <v>206</v>
      </c>
      <c r="E56" s="81">
        <v>36</v>
      </c>
      <c r="F56" s="81">
        <v>15</v>
      </c>
      <c r="G56" s="81">
        <v>14</v>
      </c>
      <c r="H56" s="81">
        <v>646</v>
      </c>
      <c r="I56" s="82">
        <v>45.62</v>
      </c>
      <c r="J56" s="82">
        <v>0</v>
      </c>
      <c r="K56" s="82">
        <v>0</v>
      </c>
      <c r="L56" s="81">
        <v>84</v>
      </c>
      <c r="M56" s="81">
        <v>51</v>
      </c>
      <c r="N56" s="81">
        <f>ROUND(_xlfn.XLOOKUP(B56,'CTE Data'!A:A,'CTE Data'!B:B,0)*H56,0)</f>
        <v>0</v>
      </c>
      <c r="O56" s="76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">
      <c r="A57" s="80" t="s">
        <v>177</v>
      </c>
      <c r="B57" s="80" t="s">
        <v>184</v>
      </c>
      <c r="C57" s="81">
        <v>0</v>
      </c>
      <c r="D57" s="81">
        <v>468</v>
      </c>
      <c r="E57" s="81">
        <v>58</v>
      </c>
      <c r="F57" s="81">
        <v>10</v>
      </c>
      <c r="G57" s="81">
        <v>12</v>
      </c>
      <c r="H57" s="81">
        <v>548</v>
      </c>
      <c r="I57" s="82">
        <v>37.270000000000003</v>
      </c>
      <c r="J57" s="82">
        <v>-0.69</v>
      </c>
      <c r="K57" s="82">
        <v>1.37</v>
      </c>
      <c r="L57" s="81">
        <v>88</v>
      </c>
      <c r="M57" s="81">
        <v>56</v>
      </c>
      <c r="N57" s="81">
        <f>ROUND(_xlfn.XLOOKUP(B57,'CTE Data'!A:A,'CTE Data'!B:B,0)*H57,0)</f>
        <v>86</v>
      </c>
      <c r="O57" s="76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">
      <c r="A58" s="80" t="s">
        <v>177</v>
      </c>
      <c r="B58" s="80" t="s">
        <v>185</v>
      </c>
      <c r="C58" s="81">
        <v>349</v>
      </c>
      <c r="D58" s="81">
        <v>167</v>
      </c>
      <c r="E58" s="81">
        <v>31</v>
      </c>
      <c r="F58" s="81">
        <v>6</v>
      </c>
      <c r="G58" s="81">
        <v>10</v>
      </c>
      <c r="H58" s="81">
        <v>563</v>
      </c>
      <c r="I58" s="82">
        <v>38.43</v>
      </c>
      <c r="J58" s="82">
        <v>0</v>
      </c>
      <c r="K58" s="82">
        <v>0</v>
      </c>
      <c r="L58" s="81">
        <v>88</v>
      </c>
      <c r="M58" s="81">
        <v>85</v>
      </c>
      <c r="N58" s="81">
        <f>ROUND(_xlfn.XLOOKUP(B58,'CTE Data'!A:A,'CTE Data'!B:B,0)*H58,0)</f>
        <v>0</v>
      </c>
      <c r="O58" s="76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">
      <c r="A59" s="80" t="s">
        <v>177</v>
      </c>
      <c r="B59" s="80" t="s">
        <v>186</v>
      </c>
      <c r="C59" s="81">
        <v>330</v>
      </c>
      <c r="D59" s="81">
        <v>156</v>
      </c>
      <c r="E59" s="81">
        <v>41</v>
      </c>
      <c r="F59" s="81">
        <v>20</v>
      </c>
      <c r="G59" s="81">
        <v>9</v>
      </c>
      <c r="H59" s="81">
        <v>556</v>
      </c>
      <c r="I59" s="82">
        <v>39.840000000000003</v>
      </c>
      <c r="J59" s="82">
        <v>0</v>
      </c>
      <c r="K59" s="82">
        <v>0</v>
      </c>
      <c r="L59" s="81">
        <v>107</v>
      </c>
      <c r="M59" s="81">
        <v>50</v>
      </c>
      <c r="N59" s="81">
        <f>ROUND(_xlfn.XLOOKUP(B59,'CTE Data'!A:A,'CTE Data'!B:B,0)*H59,0)</f>
        <v>0</v>
      </c>
      <c r="O59" s="76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">
      <c r="A60" s="80" t="s">
        <v>177</v>
      </c>
      <c r="B60" s="80" t="s">
        <v>187</v>
      </c>
      <c r="C60" s="81">
        <v>0</v>
      </c>
      <c r="D60" s="81">
        <v>0</v>
      </c>
      <c r="E60" s="81">
        <v>75</v>
      </c>
      <c r="F60" s="81">
        <v>35</v>
      </c>
      <c r="G60" s="81">
        <v>343</v>
      </c>
      <c r="H60" s="81">
        <v>453</v>
      </c>
      <c r="I60" s="82">
        <v>148.94</v>
      </c>
      <c r="J60" s="82">
        <v>-2.27</v>
      </c>
      <c r="K60" s="82">
        <v>4.53</v>
      </c>
      <c r="L60" s="81">
        <v>99</v>
      </c>
      <c r="M60" s="81">
        <v>10</v>
      </c>
      <c r="N60" s="81">
        <f>ROUND(_xlfn.XLOOKUP(B60,'CTE Data'!A:A,'CTE Data'!B:B,0)*H60,0)</f>
        <v>0</v>
      </c>
      <c r="O60" s="76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85" customFormat="1" x14ac:dyDescent="0.2">
      <c r="A61" s="85" t="s">
        <v>177</v>
      </c>
      <c r="B61" s="85" t="s">
        <v>188</v>
      </c>
      <c r="C61" s="86">
        <v>1677</v>
      </c>
      <c r="D61" s="86">
        <v>3782</v>
      </c>
      <c r="E61" s="86">
        <v>648</v>
      </c>
      <c r="F61" s="86">
        <v>189</v>
      </c>
      <c r="G61" s="86">
        <v>436</v>
      </c>
      <c r="H61" s="86">
        <v>6732</v>
      </c>
      <c r="I61" s="88">
        <v>582.79999999999995</v>
      </c>
      <c r="J61" s="88">
        <v>-13.85</v>
      </c>
      <c r="K61" s="88">
        <v>27.7</v>
      </c>
      <c r="L61" s="86">
        <v>1125</v>
      </c>
      <c r="M61" s="86">
        <v>608</v>
      </c>
      <c r="N61" s="86">
        <f>SUM(N51:N60)</f>
        <v>513</v>
      </c>
      <c r="O61" s="88">
        <f>SUM(O51:O60)</f>
        <v>10</v>
      </c>
      <c r="P61" s="88">
        <f t="shared" ref="P61:R61" si="21">SUM(P51:P60)</f>
        <v>24</v>
      </c>
      <c r="Q61" s="88">
        <f t="shared" si="21"/>
        <v>116.554</v>
      </c>
      <c r="R61" s="88">
        <f t="shared" si="21"/>
        <v>64</v>
      </c>
      <c r="S61" s="87">
        <f t="shared" si="0"/>
        <v>2</v>
      </c>
      <c r="T61" s="87">
        <f t="shared" ref="T61:T81" si="22">IF((I61+O61+P61+Q61+R61)&lt;200,0,MIN(6,1+QUOTIENT((I61+O61+P61+Q61+R61)-200,100)))</f>
        <v>6</v>
      </c>
      <c r="U61" s="87">
        <f>MAX(1,1+INT((I61-500)/500))</f>
        <v>1</v>
      </c>
    </row>
    <row r="62" spans="1:21" x14ac:dyDescent="0.2">
      <c r="A62" s="80" t="s">
        <v>189</v>
      </c>
      <c r="B62" s="80" t="s">
        <v>190</v>
      </c>
      <c r="C62" s="81">
        <v>148</v>
      </c>
      <c r="D62" s="81">
        <v>117</v>
      </c>
      <c r="E62" s="81">
        <v>39</v>
      </c>
      <c r="F62" s="81">
        <v>4</v>
      </c>
      <c r="G62" s="81">
        <v>5</v>
      </c>
      <c r="H62" s="81">
        <v>313</v>
      </c>
      <c r="I62" s="82">
        <v>22.22</v>
      </c>
      <c r="J62" s="82">
        <v>0</v>
      </c>
      <c r="K62" s="82">
        <v>0</v>
      </c>
      <c r="L62" s="81">
        <v>143</v>
      </c>
      <c r="M62" s="81">
        <v>28</v>
      </c>
      <c r="N62" s="81">
        <f>ROUND(_xlfn.XLOOKUP(B62,'CTE Data'!A:A,'CTE Data'!B:B,0)*H62,0)</f>
        <v>0</v>
      </c>
      <c r="O62" s="76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">
      <c r="A63" s="80" t="s">
        <v>189</v>
      </c>
      <c r="B63" s="80" t="s">
        <v>191</v>
      </c>
      <c r="C63" s="81">
        <v>0</v>
      </c>
      <c r="D63" s="81">
        <v>0</v>
      </c>
      <c r="E63" s="81">
        <v>37</v>
      </c>
      <c r="F63" s="81">
        <v>0</v>
      </c>
      <c r="G63" s="81">
        <v>0</v>
      </c>
      <c r="H63" s="81">
        <v>37</v>
      </c>
      <c r="I63" s="82">
        <v>4.4000000000000004</v>
      </c>
      <c r="J63" s="82">
        <v>0</v>
      </c>
      <c r="K63" s="82">
        <v>0</v>
      </c>
      <c r="L63" s="81">
        <v>18</v>
      </c>
      <c r="M63" s="81">
        <v>0</v>
      </c>
      <c r="N63" s="81">
        <f>ROUND(_xlfn.XLOOKUP(B63,'CTE Data'!A:A,'CTE Data'!B:B,0)*H63,0)</f>
        <v>0</v>
      </c>
      <c r="O63" s="76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">
      <c r="A64" s="80" t="s">
        <v>189</v>
      </c>
      <c r="B64" s="80" t="s">
        <v>192</v>
      </c>
      <c r="C64" s="81">
        <v>308</v>
      </c>
      <c r="D64" s="81">
        <v>192</v>
      </c>
      <c r="E64" s="81">
        <v>54</v>
      </c>
      <c r="F64" s="81">
        <v>17</v>
      </c>
      <c r="G64" s="81">
        <v>13</v>
      </c>
      <c r="H64" s="81">
        <v>584</v>
      </c>
      <c r="I64" s="82">
        <v>42.87</v>
      </c>
      <c r="J64" s="82">
        <v>0</v>
      </c>
      <c r="K64" s="82">
        <v>0</v>
      </c>
      <c r="L64" s="81">
        <v>259</v>
      </c>
      <c r="M64" s="81">
        <v>121</v>
      </c>
      <c r="N64" s="81">
        <f>ROUND(_xlfn.XLOOKUP(B64,'CTE Data'!A:A,'CTE Data'!B:B,0)*H64,0)</f>
        <v>0</v>
      </c>
      <c r="O64" s="76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">
      <c r="A65" s="80" t="s">
        <v>189</v>
      </c>
      <c r="B65" s="80" t="s">
        <v>193</v>
      </c>
      <c r="C65" s="81">
        <v>0</v>
      </c>
      <c r="D65" s="81">
        <v>1389</v>
      </c>
      <c r="E65" s="81">
        <v>245</v>
      </c>
      <c r="F65" s="81">
        <v>63</v>
      </c>
      <c r="G65" s="81">
        <v>31</v>
      </c>
      <c r="H65" s="81">
        <v>1728</v>
      </c>
      <c r="I65" s="82">
        <v>130.13999999999999</v>
      </c>
      <c r="J65" s="82">
        <v>-9.1</v>
      </c>
      <c r="K65" s="82">
        <v>18.2</v>
      </c>
      <c r="L65" s="81">
        <v>576</v>
      </c>
      <c r="M65" s="81">
        <v>234</v>
      </c>
      <c r="N65" s="81">
        <f>ROUND(_xlfn.XLOOKUP(B65,'CTE Data'!A:A,'CTE Data'!B:B,0)*H65,0)</f>
        <v>297</v>
      </c>
      <c r="O65" s="76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">
      <c r="A66" s="80" t="s">
        <v>189</v>
      </c>
      <c r="B66" s="80" t="s">
        <v>194</v>
      </c>
      <c r="C66" s="81">
        <v>270</v>
      </c>
      <c r="D66" s="81">
        <v>0</v>
      </c>
      <c r="E66" s="81">
        <v>24</v>
      </c>
      <c r="F66" s="81">
        <v>72</v>
      </c>
      <c r="G66" s="81">
        <v>18</v>
      </c>
      <c r="H66" s="81">
        <v>384</v>
      </c>
      <c r="I66" s="82">
        <v>38.450000000000003</v>
      </c>
      <c r="J66" s="82">
        <v>0</v>
      </c>
      <c r="K66" s="82">
        <v>0</v>
      </c>
      <c r="L66" s="81">
        <v>181</v>
      </c>
      <c r="M66" s="81">
        <v>51</v>
      </c>
      <c r="N66" s="81">
        <f>ROUND(_xlfn.XLOOKUP(B66,'CTE Data'!A:A,'CTE Data'!B:B,0)*H66,0)</f>
        <v>0</v>
      </c>
      <c r="O66" s="76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">
      <c r="A67" s="80" t="s">
        <v>189</v>
      </c>
      <c r="B67" s="80" t="s">
        <v>195</v>
      </c>
      <c r="C67" s="81">
        <v>123</v>
      </c>
      <c r="D67" s="81">
        <v>0</v>
      </c>
      <c r="E67" s="81">
        <v>12</v>
      </c>
      <c r="F67" s="81">
        <v>31</v>
      </c>
      <c r="G67" s="81">
        <v>5</v>
      </c>
      <c r="H67" s="81">
        <v>171</v>
      </c>
      <c r="I67" s="82">
        <v>16.11</v>
      </c>
      <c r="J67" s="82">
        <v>0</v>
      </c>
      <c r="K67" s="82">
        <v>0</v>
      </c>
      <c r="L67" s="81">
        <v>87</v>
      </c>
      <c r="M67" s="81">
        <v>27</v>
      </c>
      <c r="N67" s="81">
        <f>ROUND(_xlfn.XLOOKUP(B67,'CTE Data'!A:A,'CTE Data'!B:B,0)*H67,0)</f>
        <v>0</v>
      </c>
      <c r="O67" s="76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">
      <c r="A68" s="80" t="s">
        <v>189</v>
      </c>
      <c r="B68" s="80" t="s">
        <v>196</v>
      </c>
      <c r="C68" s="81">
        <v>203</v>
      </c>
      <c r="D68" s="81">
        <v>76</v>
      </c>
      <c r="E68" s="81">
        <v>16</v>
      </c>
      <c r="F68" s="81">
        <v>6</v>
      </c>
      <c r="G68" s="81">
        <v>0</v>
      </c>
      <c r="H68" s="81">
        <v>301</v>
      </c>
      <c r="I68" s="82">
        <v>19.23</v>
      </c>
      <c r="J68" s="82">
        <v>0</v>
      </c>
      <c r="K68" s="82">
        <v>0</v>
      </c>
      <c r="L68" s="81">
        <v>77</v>
      </c>
      <c r="M68" s="81">
        <v>27</v>
      </c>
      <c r="N68" s="81">
        <f>ROUND(_xlfn.XLOOKUP(B68,'CTE Data'!A:A,'CTE Data'!B:B,0)*H68,0)</f>
        <v>0</v>
      </c>
      <c r="O68" s="76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">
      <c r="A69" s="80" t="s">
        <v>189</v>
      </c>
      <c r="B69" s="80" t="s">
        <v>197</v>
      </c>
      <c r="C69" s="81">
        <v>0</v>
      </c>
      <c r="D69" s="81">
        <v>0</v>
      </c>
      <c r="E69" s="81">
        <v>0</v>
      </c>
      <c r="F69" s="81">
        <v>1</v>
      </c>
      <c r="G69" s="81">
        <v>264</v>
      </c>
      <c r="H69" s="81">
        <v>265</v>
      </c>
      <c r="I69" s="82">
        <v>102.19</v>
      </c>
      <c r="J69" s="82">
        <v>-0.49</v>
      </c>
      <c r="K69" s="82">
        <v>0.97</v>
      </c>
      <c r="L69" s="81">
        <v>87</v>
      </c>
      <c r="M69" s="81">
        <v>11</v>
      </c>
      <c r="N69" s="81">
        <f>ROUND(_xlfn.XLOOKUP(B69,'CTE Data'!A:A,'CTE Data'!B:B,0)*H69,0)</f>
        <v>265</v>
      </c>
      <c r="O69" s="76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">
      <c r="A70" s="80" t="s">
        <v>189</v>
      </c>
      <c r="B70" s="80" t="s">
        <v>198</v>
      </c>
      <c r="C70" s="81">
        <v>0</v>
      </c>
      <c r="D70" s="81">
        <v>0</v>
      </c>
      <c r="E70" s="81">
        <v>0</v>
      </c>
      <c r="F70" s="81">
        <v>27</v>
      </c>
      <c r="G70" s="81">
        <v>54</v>
      </c>
      <c r="H70" s="81">
        <v>81</v>
      </c>
      <c r="I70" s="82">
        <v>25.4</v>
      </c>
      <c r="J70" s="82">
        <v>-0.13</v>
      </c>
      <c r="K70" s="82">
        <v>0.26</v>
      </c>
      <c r="L70" s="81">
        <v>47</v>
      </c>
      <c r="M70" s="81">
        <v>1</v>
      </c>
      <c r="N70" s="81">
        <f>ROUND(_xlfn.XLOOKUP(B70,'CTE Data'!A:A,'CTE Data'!B:B,0)*H70,0)</f>
        <v>6</v>
      </c>
      <c r="O70" s="76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">
      <c r="A71" s="80" t="s">
        <v>189</v>
      </c>
      <c r="B71" s="80" t="s">
        <v>199</v>
      </c>
      <c r="C71" s="81">
        <v>0</v>
      </c>
      <c r="D71" s="81">
        <v>484</v>
      </c>
      <c r="E71" s="81">
        <v>73</v>
      </c>
      <c r="F71" s="81">
        <v>14</v>
      </c>
      <c r="G71" s="81">
        <v>15</v>
      </c>
      <c r="H71" s="81">
        <v>586</v>
      </c>
      <c r="I71" s="82">
        <v>42.27</v>
      </c>
      <c r="J71" s="82">
        <v>-1.28</v>
      </c>
      <c r="K71" s="82">
        <v>2.56</v>
      </c>
      <c r="L71" s="81">
        <v>226</v>
      </c>
      <c r="M71" s="81">
        <v>55</v>
      </c>
      <c r="N71" s="81">
        <f>ROUND(_xlfn.XLOOKUP(B71,'CTE Data'!A:A,'CTE Data'!B:B,0)*H71,0)</f>
        <v>68</v>
      </c>
      <c r="O71" s="76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">
      <c r="A72" s="80" t="s">
        <v>189</v>
      </c>
      <c r="B72" s="80" t="s">
        <v>200</v>
      </c>
      <c r="C72" s="81">
        <v>0</v>
      </c>
      <c r="D72" s="81">
        <v>549</v>
      </c>
      <c r="E72" s="81">
        <v>101</v>
      </c>
      <c r="F72" s="81">
        <v>9</v>
      </c>
      <c r="G72" s="81">
        <v>4</v>
      </c>
      <c r="H72" s="81">
        <v>663</v>
      </c>
      <c r="I72" s="82">
        <v>43.78</v>
      </c>
      <c r="J72" s="82">
        <v>-1.27</v>
      </c>
      <c r="K72" s="82">
        <v>2.54</v>
      </c>
      <c r="L72" s="81">
        <v>278</v>
      </c>
      <c r="M72" s="81">
        <v>85</v>
      </c>
      <c r="N72" s="81">
        <f>ROUND(_xlfn.XLOOKUP(B72,'CTE Data'!A:A,'CTE Data'!B:B,0)*H72,0)</f>
        <v>64</v>
      </c>
      <c r="O72" s="76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">
      <c r="A73" s="80" t="s">
        <v>189</v>
      </c>
      <c r="B73" s="80" t="s">
        <v>201</v>
      </c>
      <c r="C73" s="81">
        <v>171</v>
      </c>
      <c r="D73" s="81">
        <v>118</v>
      </c>
      <c r="E73" s="81">
        <v>28</v>
      </c>
      <c r="F73" s="81">
        <v>6</v>
      </c>
      <c r="G73" s="81">
        <v>5</v>
      </c>
      <c r="H73" s="81">
        <v>328</v>
      </c>
      <c r="I73" s="82">
        <v>22.71</v>
      </c>
      <c r="J73" s="82">
        <v>0</v>
      </c>
      <c r="K73" s="82">
        <v>0</v>
      </c>
      <c r="L73" s="81">
        <v>148</v>
      </c>
      <c r="M73" s="81">
        <v>39</v>
      </c>
      <c r="N73" s="81">
        <f>ROUND(_xlfn.XLOOKUP(B73,'CTE Data'!A:A,'CTE Data'!B:B,0)*H73,0)</f>
        <v>0</v>
      </c>
      <c r="O73" s="76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">
      <c r="A74" s="80" t="s">
        <v>189</v>
      </c>
      <c r="B74" s="80" t="s">
        <v>202</v>
      </c>
      <c r="C74" s="81">
        <v>335</v>
      </c>
      <c r="D74" s="81">
        <v>217</v>
      </c>
      <c r="E74" s="81">
        <v>58</v>
      </c>
      <c r="F74" s="81">
        <v>6</v>
      </c>
      <c r="G74" s="81">
        <v>7</v>
      </c>
      <c r="H74" s="81">
        <v>623</v>
      </c>
      <c r="I74" s="82">
        <v>42.12</v>
      </c>
      <c r="J74" s="82">
        <v>0</v>
      </c>
      <c r="K74" s="82">
        <v>0</v>
      </c>
      <c r="L74" s="81">
        <v>302</v>
      </c>
      <c r="M74" s="81">
        <v>84</v>
      </c>
      <c r="N74" s="81">
        <f>ROUND(_xlfn.XLOOKUP(B74,'CTE Data'!A:A,'CTE Data'!B:B,0)*H74,0)</f>
        <v>0</v>
      </c>
      <c r="O74" s="76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">
      <c r="A75" s="80" t="s">
        <v>189</v>
      </c>
      <c r="B75" s="80" t="s">
        <v>203</v>
      </c>
      <c r="C75" s="81">
        <v>173</v>
      </c>
      <c r="D75" s="81">
        <v>110</v>
      </c>
      <c r="E75" s="81">
        <v>22</v>
      </c>
      <c r="F75" s="81">
        <v>10</v>
      </c>
      <c r="G75" s="81">
        <v>7</v>
      </c>
      <c r="H75" s="81">
        <v>322</v>
      </c>
      <c r="I75" s="82">
        <v>23.16</v>
      </c>
      <c r="J75" s="82">
        <v>0</v>
      </c>
      <c r="K75" s="82">
        <v>0</v>
      </c>
      <c r="L75" s="81">
        <v>154</v>
      </c>
      <c r="M75" s="81">
        <v>44</v>
      </c>
      <c r="N75" s="81">
        <f>ROUND(_xlfn.XLOOKUP(B75,'CTE Data'!A:A,'CTE Data'!B:B,0)*H75,0)</f>
        <v>0</v>
      </c>
      <c r="O75" s="76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85" customFormat="1" x14ac:dyDescent="0.2">
      <c r="A76" s="85" t="s">
        <v>189</v>
      </c>
      <c r="B76" s="85" t="s">
        <v>204</v>
      </c>
      <c r="C76" s="86">
        <v>1731</v>
      </c>
      <c r="D76" s="86">
        <v>3252</v>
      </c>
      <c r="E76" s="86">
        <v>709</v>
      </c>
      <c r="F76" s="86">
        <v>266</v>
      </c>
      <c r="G76" s="86">
        <v>428</v>
      </c>
      <c r="H76" s="86">
        <v>6386</v>
      </c>
      <c r="I76" s="88">
        <v>575.07000000000005</v>
      </c>
      <c r="J76" s="88">
        <v>-12.27</v>
      </c>
      <c r="K76" s="88">
        <v>24.53</v>
      </c>
      <c r="L76" s="86">
        <v>2583</v>
      </c>
      <c r="M76" s="86">
        <v>807</v>
      </c>
      <c r="N76" s="86">
        <f>SUM(N62:N75)</f>
        <v>700</v>
      </c>
      <c r="O76" s="88">
        <f>SUM(O62:O75)</f>
        <v>13</v>
      </c>
      <c r="P76" s="88">
        <f t="shared" ref="P76:R76" si="27">SUM(P62:P75)</f>
        <v>22</v>
      </c>
      <c r="Q76" s="88">
        <f t="shared" si="27"/>
        <v>115.01000000000002</v>
      </c>
      <c r="R76" s="88">
        <f t="shared" si="27"/>
        <v>62</v>
      </c>
      <c r="S76" s="87">
        <f t="shared" si="26"/>
        <v>2</v>
      </c>
      <c r="T76" s="87">
        <f t="shared" si="22"/>
        <v>6</v>
      </c>
      <c r="U76" s="87">
        <f>MAX(1,1+INT((I76-500)/500))</f>
        <v>1</v>
      </c>
    </row>
    <row r="77" spans="1:21" x14ac:dyDescent="0.2">
      <c r="A77" s="80" t="s">
        <v>382</v>
      </c>
      <c r="B77" s="80" t="s">
        <v>383</v>
      </c>
      <c r="C77" s="81">
        <v>271</v>
      </c>
      <c r="D77" s="81">
        <v>162</v>
      </c>
      <c r="E77" s="81">
        <v>21</v>
      </c>
      <c r="F77" s="81">
        <v>9</v>
      </c>
      <c r="G77" s="81">
        <v>8</v>
      </c>
      <c r="H77" s="81">
        <v>471</v>
      </c>
      <c r="I77" s="82">
        <v>31.91</v>
      </c>
      <c r="J77" s="82">
        <v>0</v>
      </c>
      <c r="K77" s="82">
        <v>0</v>
      </c>
      <c r="L77" s="81">
        <v>230</v>
      </c>
      <c r="M77" s="81">
        <v>12</v>
      </c>
      <c r="N77" s="81">
        <v>0</v>
      </c>
      <c r="O77" s="76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">
      <c r="A78" s="80" t="s">
        <v>382</v>
      </c>
      <c r="B78" s="80" t="s">
        <v>384</v>
      </c>
      <c r="C78" s="81">
        <v>0</v>
      </c>
      <c r="D78" s="81">
        <v>246</v>
      </c>
      <c r="E78" s="81">
        <v>27</v>
      </c>
      <c r="F78" s="81">
        <v>11</v>
      </c>
      <c r="G78" s="81">
        <v>4</v>
      </c>
      <c r="H78" s="81">
        <v>288</v>
      </c>
      <c r="I78" s="82">
        <v>18.88</v>
      </c>
      <c r="J78" s="82">
        <v>0</v>
      </c>
      <c r="K78" s="82">
        <v>0</v>
      </c>
      <c r="L78" s="81">
        <v>140</v>
      </c>
      <c r="M78" s="81">
        <v>9</v>
      </c>
      <c r="N78" s="81">
        <v>0</v>
      </c>
      <c r="O78" s="76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85" customFormat="1" x14ac:dyDescent="0.2">
      <c r="A79" s="85" t="s">
        <v>382</v>
      </c>
      <c r="B79" s="85" t="s">
        <v>382</v>
      </c>
      <c r="C79" s="86">
        <v>271</v>
      </c>
      <c r="D79" s="86">
        <v>408</v>
      </c>
      <c r="E79" s="85">
        <v>48</v>
      </c>
      <c r="F79" s="86">
        <v>20</v>
      </c>
      <c r="G79" s="86">
        <v>12</v>
      </c>
      <c r="H79" s="86">
        <v>759</v>
      </c>
      <c r="I79" s="87">
        <v>50.79</v>
      </c>
      <c r="J79" s="87">
        <v>0</v>
      </c>
      <c r="K79" s="87">
        <v>0</v>
      </c>
      <c r="L79" s="86">
        <v>370</v>
      </c>
      <c r="M79" s="86">
        <v>21</v>
      </c>
      <c r="N79" s="86">
        <f>ROUND(_xlfn.XLOOKUP(B79,'CTE Data'!A:A,'CTE Data'!B:B,0)*H79,0)</f>
        <v>0</v>
      </c>
      <c r="O79" s="88">
        <f>SUM(O77:O78)</f>
        <v>2</v>
      </c>
      <c r="P79" s="88">
        <f t="shared" ref="P79" si="28">SUM(P77:P78)</f>
        <v>1</v>
      </c>
      <c r="Q79" s="88">
        <f t="shared" ref="Q79" si="29">SUM(Q77:Q78)</f>
        <v>10.158000000000001</v>
      </c>
      <c r="R79" s="88">
        <f t="shared" ref="R79" si="30">SUM(R77:R78)</f>
        <v>5</v>
      </c>
      <c r="S79" s="87">
        <f t="shared" si="26"/>
        <v>0</v>
      </c>
      <c r="T79" s="87">
        <f t="shared" si="22"/>
        <v>0</v>
      </c>
      <c r="U79" s="87">
        <f>MAX(1,1+INT((I79-500)/500))</f>
        <v>1</v>
      </c>
    </row>
    <row r="80" spans="1:21" s="85" customFormat="1" x14ac:dyDescent="0.2">
      <c r="A80" s="85" t="s">
        <v>385</v>
      </c>
      <c r="B80" s="85" t="s">
        <v>385</v>
      </c>
      <c r="C80" s="86">
        <v>0</v>
      </c>
      <c r="D80" s="86">
        <v>966</v>
      </c>
      <c r="E80" s="85">
        <v>11</v>
      </c>
      <c r="F80" s="86">
        <v>2</v>
      </c>
      <c r="G80" s="86">
        <v>1</v>
      </c>
      <c r="H80" s="86">
        <v>980</v>
      </c>
      <c r="I80" s="87">
        <v>50.32</v>
      </c>
      <c r="J80" s="87">
        <v>0</v>
      </c>
      <c r="K80" s="87">
        <v>0</v>
      </c>
      <c r="L80" s="86">
        <v>26</v>
      </c>
      <c r="M80" s="86">
        <v>4</v>
      </c>
      <c r="N80" s="86">
        <f>ROUND(_xlfn.XLOOKUP(B80,'CTE Data'!A:A,'CTE Data'!B:B,0)*H80,0)</f>
        <v>0</v>
      </c>
      <c r="O80" s="88">
        <v>1</v>
      </c>
      <c r="P80" s="87">
        <f t="shared" ref="P80:P110" si="31">ROUNDDOWN(IF(I80+Q80+R80&lt;15,0,IF(I80+Q80+R80&lt;25,0,IF(I80+Q80+R80&lt;30,0.65,IF(I80+Q80+R80&lt;50,1,IF(I80+Q80+R80&lt;55,1.65,2+(I80+Q80+R80-55)/20))))),0)</f>
        <v>2</v>
      </c>
      <c r="Q80" s="87">
        <f t="shared" ref="Q80:Q110" si="32">I80*0.2</f>
        <v>10.064</v>
      </c>
      <c r="R80" s="87">
        <f t="shared" ref="R80:R110" si="33">ROUNDDOWN(IF(I80+O80+Q80&lt;100,INT((I80+O80+Q80)/10),10+INT(((I80+O80+Q80)-100)/12)),0)</f>
        <v>6</v>
      </c>
      <c r="S80" s="87">
        <f t="shared" si="26"/>
        <v>0</v>
      </c>
      <c r="T80" s="87">
        <f t="shared" si="22"/>
        <v>0</v>
      </c>
      <c r="U80" s="87">
        <v>1</v>
      </c>
    </row>
    <row r="81" spans="1:21" x14ac:dyDescent="0.2">
      <c r="A81" s="80" t="s">
        <v>205</v>
      </c>
      <c r="B81" s="80" t="s">
        <v>206</v>
      </c>
      <c r="C81" s="81">
        <v>172</v>
      </c>
      <c r="D81" s="81">
        <v>89</v>
      </c>
      <c r="E81" s="81">
        <v>30</v>
      </c>
      <c r="F81" s="81">
        <v>10</v>
      </c>
      <c r="G81" s="81">
        <v>19</v>
      </c>
      <c r="H81" s="81">
        <v>320</v>
      </c>
      <c r="I81" s="82">
        <v>27.62</v>
      </c>
      <c r="J81" s="82">
        <v>0</v>
      </c>
      <c r="K81" s="82">
        <v>0</v>
      </c>
      <c r="L81" s="81">
        <v>111</v>
      </c>
      <c r="M81" s="81">
        <v>46</v>
      </c>
      <c r="N81" s="81">
        <f>ROUND(_xlfn.XLOOKUP(B81,'CTE Data'!A:A,'CTE Data'!B:B,0)*H81,0)</f>
        <v>0</v>
      </c>
      <c r="O81" s="76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">
      <c r="A82" s="80" t="s">
        <v>205</v>
      </c>
      <c r="B82" s="80" t="s">
        <v>207</v>
      </c>
      <c r="C82" s="81">
        <v>1</v>
      </c>
      <c r="D82" s="81">
        <v>0</v>
      </c>
      <c r="E82" s="80">
        <v>0</v>
      </c>
      <c r="F82" s="81">
        <v>2</v>
      </c>
      <c r="G82" s="81">
        <v>423</v>
      </c>
      <c r="H82" s="81">
        <v>426</v>
      </c>
      <c r="I82" s="82">
        <v>165.1</v>
      </c>
      <c r="J82" s="82">
        <v>-2.0299999999999998</v>
      </c>
      <c r="K82" s="82">
        <v>4.05</v>
      </c>
      <c r="L82" s="81">
        <v>103</v>
      </c>
      <c r="M82" s="81">
        <v>3</v>
      </c>
      <c r="N82" s="81">
        <f>ROUND(_xlfn.XLOOKUP(B82,'CTE Data'!A:A,'CTE Data'!B:B,0)*H82,0)</f>
        <v>125</v>
      </c>
      <c r="O82" s="76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">
      <c r="A83" s="80" t="s">
        <v>205</v>
      </c>
      <c r="B83" s="80" t="s">
        <v>208</v>
      </c>
      <c r="C83" s="81">
        <v>137</v>
      </c>
      <c r="D83" s="81">
        <v>73</v>
      </c>
      <c r="E83" s="81">
        <v>13</v>
      </c>
      <c r="F83" s="81">
        <v>22</v>
      </c>
      <c r="G83" s="81">
        <v>12</v>
      </c>
      <c r="H83" s="81">
        <v>257</v>
      </c>
      <c r="I83" s="82">
        <v>21.95</v>
      </c>
      <c r="J83" s="82">
        <v>0</v>
      </c>
      <c r="K83" s="82">
        <v>0</v>
      </c>
      <c r="L83" s="81">
        <v>121</v>
      </c>
      <c r="M83" s="81">
        <v>64</v>
      </c>
      <c r="N83" s="81">
        <f>ROUND(_xlfn.XLOOKUP(B83,'CTE Data'!A:A,'CTE Data'!B:B,0)*H83,0)</f>
        <v>0</v>
      </c>
      <c r="O83" s="76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">
      <c r="A84" s="80" t="s">
        <v>205</v>
      </c>
      <c r="B84" s="80" t="s">
        <v>209</v>
      </c>
      <c r="C84" s="81">
        <v>0</v>
      </c>
      <c r="D84" s="81">
        <v>1130</v>
      </c>
      <c r="E84" s="81">
        <v>93</v>
      </c>
      <c r="F84" s="81">
        <v>94</v>
      </c>
      <c r="G84" s="81">
        <v>16</v>
      </c>
      <c r="H84" s="81">
        <v>1333</v>
      </c>
      <c r="I84" s="82">
        <v>96.23</v>
      </c>
      <c r="J84" s="82">
        <v>-6.84</v>
      </c>
      <c r="K84" s="82">
        <v>13.68</v>
      </c>
      <c r="L84" s="81">
        <v>320</v>
      </c>
      <c r="M84" s="81">
        <v>147</v>
      </c>
      <c r="N84" s="81">
        <f>ROUND(_xlfn.XLOOKUP(B84,'CTE Data'!A:A,'CTE Data'!B:B,0)*H84,0)</f>
        <v>241</v>
      </c>
      <c r="O84" s="76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">
      <c r="A85" s="80" t="s">
        <v>205</v>
      </c>
      <c r="B85" s="80" t="s">
        <v>210</v>
      </c>
      <c r="C85" s="81">
        <v>0</v>
      </c>
      <c r="D85" s="81">
        <v>0</v>
      </c>
      <c r="E85" s="81">
        <v>0</v>
      </c>
      <c r="F85" s="81">
        <v>0</v>
      </c>
      <c r="G85" s="81">
        <v>0</v>
      </c>
      <c r="H85" s="81">
        <v>0</v>
      </c>
      <c r="I85" s="82">
        <v>0.1</v>
      </c>
      <c r="J85" s="82">
        <v>-0.09</v>
      </c>
      <c r="K85" s="82">
        <v>0.19</v>
      </c>
      <c r="L85" s="81">
        <v>0</v>
      </c>
      <c r="M85" s="81">
        <v>0</v>
      </c>
      <c r="N85" s="81">
        <f>ROUND(_xlfn.XLOOKUP(B85,'CTE Data'!A:A,'CTE Data'!B:B,0)*H85,0)</f>
        <v>0</v>
      </c>
      <c r="O85" s="76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">
      <c r="A86" s="80" t="s">
        <v>205</v>
      </c>
      <c r="B86" s="80" t="s">
        <v>211</v>
      </c>
      <c r="C86" s="81">
        <v>0</v>
      </c>
      <c r="D86" s="81">
        <v>0</v>
      </c>
      <c r="E86" s="81">
        <v>229</v>
      </c>
      <c r="F86" s="81">
        <v>123</v>
      </c>
      <c r="G86" s="81">
        <v>59</v>
      </c>
      <c r="H86" s="81">
        <v>411</v>
      </c>
      <c r="I86" s="82">
        <v>70.45</v>
      </c>
      <c r="J86" s="82">
        <v>0</v>
      </c>
      <c r="K86" s="82">
        <v>0</v>
      </c>
      <c r="L86" s="81">
        <v>116</v>
      </c>
      <c r="M86" s="81">
        <v>0</v>
      </c>
      <c r="N86" s="81">
        <f>ROUND(_xlfn.XLOOKUP(B86,'CTE Data'!A:A,'CTE Data'!B:B,0)*H86,0)</f>
        <v>0</v>
      </c>
      <c r="O86" s="76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">
      <c r="A87" s="80" t="s">
        <v>205</v>
      </c>
      <c r="B87" s="80" t="s">
        <v>212</v>
      </c>
      <c r="C87" s="81">
        <v>0</v>
      </c>
      <c r="D87" s="81">
        <v>0</v>
      </c>
      <c r="E87" s="81">
        <v>0</v>
      </c>
      <c r="F87" s="81">
        <v>0</v>
      </c>
      <c r="G87" s="81">
        <v>105</v>
      </c>
      <c r="H87" s="81">
        <v>105</v>
      </c>
      <c r="I87" s="82">
        <v>40.380000000000003</v>
      </c>
      <c r="J87" s="82">
        <v>0</v>
      </c>
      <c r="K87" s="82">
        <v>0</v>
      </c>
      <c r="L87" s="81">
        <v>26</v>
      </c>
      <c r="M87" s="81">
        <v>7</v>
      </c>
      <c r="N87" s="81">
        <f>ROUND(_xlfn.XLOOKUP(B87,'CTE Data'!A:A,'CTE Data'!B:B,0)*H87,0)</f>
        <v>0</v>
      </c>
      <c r="O87" s="76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">
      <c r="A88" s="80" t="s">
        <v>205</v>
      </c>
      <c r="B88" s="80" t="s">
        <v>213</v>
      </c>
      <c r="C88" s="81">
        <v>0</v>
      </c>
      <c r="D88" s="81">
        <v>50</v>
      </c>
      <c r="E88" s="81">
        <v>4</v>
      </c>
      <c r="F88" s="81">
        <v>9</v>
      </c>
      <c r="G88" s="81">
        <v>67</v>
      </c>
      <c r="H88" s="81">
        <v>130</v>
      </c>
      <c r="I88" s="82">
        <v>30.25</v>
      </c>
      <c r="J88" s="82">
        <v>0</v>
      </c>
      <c r="K88" s="82">
        <v>0</v>
      </c>
      <c r="L88" s="81">
        <v>78</v>
      </c>
      <c r="M88" s="81">
        <v>4</v>
      </c>
      <c r="N88" s="81">
        <f>ROUND(_xlfn.XLOOKUP(B88,'CTE Data'!A:A,'CTE Data'!B:B,0)*H88,0)</f>
        <v>0</v>
      </c>
      <c r="O88" s="76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">
      <c r="A89" s="80" t="s">
        <v>205</v>
      </c>
      <c r="B89" s="80" t="s">
        <v>214</v>
      </c>
      <c r="C89" s="81">
        <v>199</v>
      </c>
      <c r="D89" s="81">
        <v>117</v>
      </c>
      <c r="E89" s="81">
        <v>31</v>
      </c>
      <c r="F89" s="81">
        <v>15</v>
      </c>
      <c r="G89" s="81">
        <v>9</v>
      </c>
      <c r="H89" s="81">
        <v>371</v>
      </c>
      <c r="I89" s="82">
        <v>27.78</v>
      </c>
      <c r="J89" s="82">
        <v>0</v>
      </c>
      <c r="K89" s="82">
        <v>0</v>
      </c>
      <c r="L89" s="81">
        <v>88</v>
      </c>
      <c r="M89" s="81">
        <v>52</v>
      </c>
      <c r="N89" s="81">
        <f>ROUND(_xlfn.XLOOKUP(B89,'CTE Data'!A:A,'CTE Data'!B:B,0)*H89,0)</f>
        <v>0</v>
      </c>
      <c r="O89" s="76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">
      <c r="A90" s="80" t="s">
        <v>205</v>
      </c>
      <c r="B90" s="80" t="s">
        <v>215</v>
      </c>
      <c r="C90" s="81">
        <v>246</v>
      </c>
      <c r="D90" s="81">
        <v>143</v>
      </c>
      <c r="E90" s="81">
        <v>24</v>
      </c>
      <c r="F90" s="81">
        <v>38</v>
      </c>
      <c r="G90" s="81">
        <v>23</v>
      </c>
      <c r="H90" s="81">
        <v>474</v>
      </c>
      <c r="I90" s="82">
        <v>40.380000000000003</v>
      </c>
      <c r="J90" s="82">
        <v>0</v>
      </c>
      <c r="K90" s="82">
        <v>0</v>
      </c>
      <c r="L90" s="81">
        <v>176</v>
      </c>
      <c r="M90" s="81">
        <v>93</v>
      </c>
      <c r="N90" s="81">
        <f>ROUND(_xlfn.XLOOKUP(B90,'CTE Data'!A:A,'CTE Data'!B:B,0)*H90,0)</f>
        <v>0</v>
      </c>
      <c r="O90" s="76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">
      <c r="A91" s="80" t="s">
        <v>205</v>
      </c>
      <c r="B91" s="80" t="s">
        <v>216</v>
      </c>
      <c r="C91" s="81">
        <v>0</v>
      </c>
      <c r="D91" s="81">
        <v>491</v>
      </c>
      <c r="E91" s="81">
        <v>79</v>
      </c>
      <c r="F91" s="81">
        <v>53</v>
      </c>
      <c r="G91" s="81">
        <v>15</v>
      </c>
      <c r="H91" s="81">
        <v>638</v>
      </c>
      <c r="I91" s="82">
        <v>50.22</v>
      </c>
      <c r="J91" s="82">
        <v>-1.67</v>
      </c>
      <c r="K91" s="82">
        <v>3.34</v>
      </c>
      <c r="L91" s="81">
        <v>194</v>
      </c>
      <c r="M91" s="81">
        <v>141</v>
      </c>
      <c r="N91" s="81">
        <f>ROUND(_xlfn.XLOOKUP(B91,'CTE Data'!A:A,'CTE Data'!B:B,0)*H91,0)</f>
        <v>116</v>
      </c>
      <c r="O91" s="76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">
      <c r="A92" s="80" t="s">
        <v>205</v>
      </c>
      <c r="B92" s="80" t="s">
        <v>217</v>
      </c>
      <c r="C92" s="81">
        <v>0</v>
      </c>
      <c r="D92" s="81">
        <v>693</v>
      </c>
      <c r="E92" s="81">
        <v>127</v>
      </c>
      <c r="F92" s="81">
        <v>55</v>
      </c>
      <c r="G92" s="81">
        <v>32</v>
      </c>
      <c r="H92" s="81">
        <v>907</v>
      </c>
      <c r="I92" s="82">
        <v>76.91</v>
      </c>
      <c r="J92" s="82">
        <v>-5.66</v>
      </c>
      <c r="K92" s="82">
        <v>11.32</v>
      </c>
      <c r="L92" s="81">
        <v>308</v>
      </c>
      <c r="M92" s="81">
        <v>191</v>
      </c>
      <c r="N92" s="81">
        <f>ROUND(_xlfn.XLOOKUP(B92,'CTE Data'!A:A,'CTE Data'!B:B,0)*H92,0)</f>
        <v>175</v>
      </c>
      <c r="O92" s="76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">
      <c r="A93" s="80" t="s">
        <v>205</v>
      </c>
      <c r="B93" s="80" t="s">
        <v>218</v>
      </c>
      <c r="C93" s="81">
        <v>183</v>
      </c>
      <c r="D93" s="81">
        <v>85</v>
      </c>
      <c r="E93" s="81">
        <v>27</v>
      </c>
      <c r="F93" s="81">
        <v>15</v>
      </c>
      <c r="G93" s="81">
        <v>12</v>
      </c>
      <c r="H93" s="81">
        <v>322</v>
      </c>
      <c r="I93" s="82">
        <v>25.88</v>
      </c>
      <c r="J93" s="82">
        <v>0</v>
      </c>
      <c r="K93" s="82">
        <v>0</v>
      </c>
      <c r="L93" s="81">
        <v>129</v>
      </c>
      <c r="M93" s="81">
        <v>32</v>
      </c>
      <c r="N93" s="81">
        <f>ROUND(_xlfn.XLOOKUP(B93,'CTE Data'!A:A,'CTE Data'!B:B,0)*H93,0)</f>
        <v>0</v>
      </c>
      <c r="O93" s="76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">
      <c r="A94" s="80" t="s">
        <v>205</v>
      </c>
      <c r="B94" s="80" t="s">
        <v>219</v>
      </c>
      <c r="C94" s="81">
        <v>226</v>
      </c>
      <c r="D94" s="81">
        <v>114</v>
      </c>
      <c r="E94" s="81">
        <v>40</v>
      </c>
      <c r="F94" s="81">
        <v>23</v>
      </c>
      <c r="G94" s="81">
        <v>16</v>
      </c>
      <c r="H94" s="81">
        <v>419</v>
      </c>
      <c r="I94" s="82">
        <v>34.39</v>
      </c>
      <c r="J94" s="82">
        <v>0</v>
      </c>
      <c r="K94" s="82">
        <v>0</v>
      </c>
      <c r="L94" s="81">
        <v>138</v>
      </c>
      <c r="M94" s="81">
        <v>40</v>
      </c>
      <c r="N94" s="81">
        <f>ROUND(_xlfn.XLOOKUP(B94,'CTE Data'!A:A,'CTE Data'!B:B,0)*H94,0)</f>
        <v>0</v>
      </c>
      <c r="O94" s="76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">
      <c r="A95" s="80" t="s">
        <v>205</v>
      </c>
      <c r="B95" s="80" t="s">
        <v>220</v>
      </c>
      <c r="C95" s="81">
        <v>0</v>
      </c>
      <c r="D95" s="81">
        <v>442</v>
      </c>
      <c r="E95" s="81">
        <v>64</v>
      </c>
      <c r="F95" s="81">
        <v>41</v>
      </c>
      <c r="G95" s="81">
        <v>19</v>
      </c>
      <c r="H95" s="81">
        <v>566</v>
      </c>
      <c r="I95" s="82">
        <v>44.59</v>
      </c>
      <c r="J95" s="82">
        <v>-0.73</v>
      </c>
      <c r="K95" s="82">
        <v>1.46</v>
      </c>
      <c r="L95" s="81">
        <v>182</v>
      </c>
      <c r="M95" s="81">
        <v>107</v>
      </c>
      <c r="N95" s="81">
        <f>ROUND(_xlfn.XLOOKUP(B95,'CTE Data'!A:A,'CTE Data'!B:B,0)*H95,0)</f>
        <v>46</v>
      </c>
      <c r="O95" s="76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">
      <c r="A96" s="80" t="s">
        <v>205</v>
      </c>
      <c r="B96" s="80" t="s">
        <v>221</v>
      </c>
      <c r="C96" s="81">
        <v>154</v>
      </c>
      <c r="D96" s="81">
        <v>72</v>
      </c>
      <c r="E96" s="81">
        <v>32</v>
      </c>
      <c r="F96" s="81">
        <v>27</v>
      </c>
      <c r="G96" s="81">
        <v>10</v>
      </c>
      <c r="H96" s="81">
        <v>295</v>
      </c>
      <c r="I96" s="82">
        <v>25.27</v>
      </c>
      <c r="J96" s="82">
        <v>0</v>
      </c>
      <c r="K96" s="82">
        <v>0</v>
      </c>
      <c r="L96" s="81">
        <v>121</v>
      </c>
      <c r="M96" s="81">
        <v>38</v>
      </c>
      <c r="N96" s="81">
        <f>ROUND(_xlfn.XLOOKUP(B96,'CTE Data'!A:A,'CTE Data'!B:B,0)*H96,0)</f>
        <v>0</v>
      </c>
      <c r="O96" s="76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">
      <c r="A97" s="80" t="s">
        <v>205</v>
      </c>
      <c r="B97" s="80" t="s">
        <v>222</v>
      </c>
      <c r="C97" s="81">
        <v>112</v>
      </c>
      <c r="D97" s="81">
        <v>73</v>
      </c>
      <c r="E97" s="81">
        <v>17</v>
      </c>
      <c r="F97" s="81">
        <v>19</v>
      </c>
      <c r="G97" s="81">
        <v>10</v>
      </c>
      <c r="H97" s="81">
        <v>231</v>
      </c>
      <c r="I97" s="82">
        <v>19.600000000000001</v>
      </c>
      <c r="J97" s="82">
        <v>0</v>
      </c>
      <c r="K97" s="82">
        <v>0</v>
      </c>
      <c r="L97" s="81">
        <v>73</v>
      </c>
      <c r="M97" s="81">
        <v>50</v>
      </c>
      <c r="N97" s="81">
        <f>ROUND(_xlfn.XLOOKUP(B97,'CTE Data'!A:A,'CTE Data'!B:B,0)*H97,0)</f>
        <v>0</v>
      </c>
      <c r="O97" s="76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">
      <c r="A98" s="80" t="s">
        <v>205</v>
      </c>
      <c r="B98" s="80" t="s">
        <v>223</v>
      </c>
      <c r="C98" s="81">
        <v>333</v>
      </c>
      <c r="D98" s="81">
        <v>130</v>
      </c>
      <c r="E98" s="81">
        <v>43</v>
      </c>
      <c r="F98" s="81">
        <v>26</v>
      </c>
      <c r="G98" s="81">
        <v>11</v>
      </c>
      <c r="H98" s="81">
        <v>543</v>
      </c>
      <c r="I98" s="82">
        <v>40.74</v>
      </c>
      <c r="J98" s="82">
        <v>0</v>
      </c>
      <c r="K98" s="82">
        <v>0</v>
      </c>
      <c r="L98" s="81">
        <v>114</v>
      </c>
      <c r="M98" s="81">
        <v>75</v>
      </c>
      <c r="N98" s="81">
        <f>ROUND(_xlfn.XLOOKUP(B98,'CTE Data'!A:A,'CTE Data'!B:B,0)*H98,0)</f>
        <v>0</v>
      </c>
      <c r="O98" s="76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">
      <c r="A99" s="80" t="s">
        <v>205</v>
      </c>
      <c r="B99" s="80" t="s">
        <v>224</v>
      </c>
      <c r="C99" s="81">
        <v>167</v>
      </c>
      <c r="D99" s="81">
        <v>275</v>
      </c>
      <c r="E99" s="80">
        <v>55</v>
      </c>
      <c r="F99" s="81">
        <v>39</v>
      </c>
      <c r="G99" s="81">
        <v>22</v>
      </c>
      <c r="H99" s="81">
        <v>558</v>
      </c>
      <c r="I99" s="82">
        <v>45.91</v>
      </c>
      <c r="J99" s="82">
        <v>-0.34</v>
      </c>
      <c r="K99" s="82">
        <v>0.68</v>
      </c>
      <c r="L99" s="81">
        <v>402</v>
      </c>
      <c r="M99" s="81">
        <v>34</v>
      </c>
      <c r="N99" s="81">
        <f>ROUND(_xlfn.XLOOKUP(B99,'CTE Data'!A:A,'CTE Data'!B:B,0)*H99,0)</f>
        <v>47</v>
      </c>
      <c r="O99" s="76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">
      <c r="A100" s="80" t="s">
        <v>205</v>
      </c>
      <c r="B100" s="80" t="s">
        <v>225</v>
      </c>
      <c r="C100" s="81">
        <v>161</v>
      </c>
      <c r="D100" s="81">
        <v>93</v>
      </c>
      <c r="E100" s="80">
        <v>16</v>
      </c>
      <c r="F100" s="81">
        <v>27</v>
      </c>
      <c r="G100" s="81">
        <v>27</v>
      </c>
      <c r="H100" s="81">
        <v>324</v>
      </c>
      <c r="I100" s="82">
        <v>31.37</v>
      </c>
      <c r="J100" s="82">
        <v>0</v>
      </c>
      <c r="K100" s="82">
        <v>0</v>
      </c>
      <c r="L100" s="81">
        <v>120</v>
      </c>
      <c r="M100" s="81">
        <v>26</v>
      </c>
      <c r="N100" s="81">
        <f>ROUND(_xlfn.XLOOKUP(B100,'CTE Data'!A:A,'CTE Data'!B:B,0)*H100,0)</f>
        <v>0</v>
      </c>
      <c r="O100" s="76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">
      <c r="A101" s="80" t="s">
        <v>205</v>
      </c>
      <c r="B101" s="80" t="s">
        <v>226</v>
      </c>
      <c r="C101" s="81">
        <v>0</v>
      </c>
      <c r="D101" s="81">
        <v>743</v>
      </c>
      <c r="E101" s="80">
        <v>123</v>
      </c>
      <c r="F101" s="81">
        <v>92</v>
      </c>
      <c r="G101" s="81">
        <v>35</v>
      </c>
      <c r="H101" s="81">
        <v>993</v>
      </c>
      <c r="I101" s="82">
        <v>84.34</v>
      </c>
      <c r="J101" s="82">
        <v>-3.77</v>
      </c>
      <c r="K101" s="82">
        <v>7.53</v>
      </c>
      <c r="L101" s="81">
        <v>334</v>
      </c>
      <c r="M101" s="81">
        <v>150</v>
      </c>
      <c r="N101" s="81">
        <f>ROUND(_xlfn.XLOOKUP(B101,'CTE Data'!A:A,'CTE Data'!B:B,0)*H101,0)</f>
        <v>160</v>
      </c>
      <c r="O101" s="76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">
      <c r="A102" s="80" t="s">
        <v>205</v>
      </c>
      <c r="B102" s="80" t="s">
        <v>227</v>
      </c>
      <c r="C102" s="81">
        <v>272</v>
      </c>
      <c r="D102" s="81">
        <v>150</v>
      </c>
      <c r="E102" s="81">
        <v>24</v>
      </c>
      <c r="F102" s="81">
        <v>20</v>
      </c>
      <c r="G102" s="81">
        <v>20</v>
      </c>
      <c r="H102" s="81">
        <v>486</v>
      </c>
      <c r="I102" s="82">
        <v>38.17</v>
      </c>
      <c r="J102" s="82">
        <v>0</v>
      </c>
      <c r="K102" s="82">
        <v>0</v>
      </c>
      <c r="L102" s="81">
        <v>135</v>
      </c>
      <c r="M102" s="81">
        <v>209</v>
      </c>
      <c r="N102" s="81">
        <f>ROUND(_xlfn.XLOOKUP(B102,'CTE Data'!A:A,'CTE Data'!B:B,0)*H102,0)</f>
        <v>0</v>
      </c>
      <c r="O102" s="76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">
      <c r="A103" s="80" t="s">
        <v>205</v>
      </c>
      <c r="B103" s="80" t="s">
        <v>228</v>
      </c>
      <c r="C103" s="81">
        <v>48</v>
      </c>
      <c r="D103" s="81">
        <v>0</v>
      </c>
      <c r="E103" s="80">
        <v>12</v>
      </c>
      <c r="F103" s="81">
        <v>11</v>
      </c>
      <c r="G103" s="81">
        <v>6</v>
      </c>
      <c r="H103" s="81">
        <v>77</v>
      </c>
      <c r="I103" s="82">
        <v>8.5299999999999994</v>
      </c>
      <c r="J103" s="82">
        <v>0</v>
      </c>
      <c r="K103" s="82">
        <v>0</v>
      </c>
      <c r="L103" s="81">
        <v>43</v>
      </c>
      <c r="M103" s="81">
        <v>10</v>
      </c>
      <c r="N103" s="81">
        <f>ROUND(_xlfn.XLOOKUP(B103,'CTE Data'!A:A,'CTE Data'!B:B,0)*H103,0)</f>
        <v>0</v>
      </c>
      <c r="O103" s="76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">
      <c r="A104" s="80" t="s">
        <v>205</v>
      </c>
      <c r="B104" s="80" t="s">
        <v>229</v>
      </c>
      <c r="C104" s="81">
        <v>0</v>
      </c>
      <c r="D104" s="81">
        <v>0</v>
      </c>
      <c r="E104" s="80">
        <v>0</v>
      </c>
      <c r="F104" s="81">
        <v>13</v>
      </c>
      <c r="G104" s="81">
        <v>199</v>
      </c>
      <c r="H104" s="81">
        <v>212</v>
      </c>
      <c r="I104" s="82">
        <v>79.45</v>
      </c>
      <c r="J104" s="82">
        <v>-0.75</v>
      </c>
      <c r="K104" s="82">
        <v>1.49</v>
      </c>
      <c r="L104" s="81">
        <v>56</v>
      </c>
      <c r="M104" s="81">
        <v>3</v>
      </c>
      <c r="N104" s="81">
        <f>ROUND(_xlfn.XLOOKUP(B104,'CTE Data'!A:A,'CTE Data'!B:B,0)*H104,0)</f>
        <v>0</v>
      </c>
      <c r="O104" s="76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">
      <c r="A105" s="80" t="s">
        <v>205</v>
      </c>
      <c r="B105" s="80" t="s">
        <v>230</v>
      </c>
      <c r="C105" s="81">
        <v>0</v>
      </c>
      <c r="D105" s="81">
        <v>514</v>
      </c>
      <c r="E105" s="80">
        <v>95</v>
      </c>
      <c r="F105" s="81">
        <v>61</v>
      </c>
      <c r="G105" s="81">
        <v>31</v>
      </c>
      <c r="H105" s="81">
        <v>701</v>
      </c>
      <c r="I105" s="82">
        <v>60.52</v>
      </c>
      <c r="J105" s="82">
        <v>-1.42</v>
      </c>
      <c r="K105" s="82">
        <v>2.84</v>
      </c>
      <c r="L105" s="81">
        <v>248</v>
      </c>
      <c r="M105" s="81">
        <v>79</v>
      </c>
      <c r="N105" s="81">
        <f>ROUND(_xlfn.XLOOKUP(B105,'CTE Data'!A:A,'CTE Data'!B:B,0)*H105,0)</f>
        <v>79</v>
      </c>
      <c r="O105" s="76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">
      <c r="A106" s="80" t="s">
        <v>205</v>
      </c>
      <c r="B106" s="80" t="s">
        <v>231</v>
      </c>
      <c r="C106" s="81">
        <v>211</v>
      </c>
      <c r="D106" s="81">
        <v>120</v>
      </c>
      <c r="E106" s="80">
        <v>30</v>
      </c>
      <c r="F106" s="81">
        <v>19</v>
      </c>
      <c r="G106" s="81">
        <v>30</v>
      </c>
      <c r="H106" s="81">
        <v>410</v>
      </c>
      <c r="I106" s="82">
        <v>37.299999999999997</v>
      </c>
      <c r="J106" s="82">
        <v>0</v>
      </c>
      <c r="K106" s="82">
        <v>0</v>
      </c>
      <c r="L106" s="81">
        <v>147</v>
      </c>
      <c r="M106" s="81">
        <v>101</v>
      </c>
      <c r="N106" s="81">
        <f>ROUND(_xlfn.XLOOKUP(B106,'CTE Data'!A:A,'CTE Data'!B:B,0)*H106,0)</f>
        <v>0</v>
      </c>
      <c r="O106" s="76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">
      <c r="A107" s="80" t="s">
        <v>205</v>
      </c>
      <c r="B107" s="80" t="s">
        <v>232</v>
      </c>
      <c r="C107" s="81">
        <v>70</v>
      </c>
      <c r="D107" s="81">
        <v>0</v>
      </c>
      <c r="E107" s="80">
        <v>31</v>
      </c>
      <c r="F107" s="81">
        <v>15</v>
      </c>
      <c r="G107" s="81">
        <v>9</v>
      </c>
      <c r="H107" s="81">
        <v>125</v>
      </c>
      <c r="I107" s="82">
        <v>13.98</v>
      </c>
      <c r="J107" s="82">
        <v>0</v>
      </c>
      <c r="K107" s="82">
        <v>0</v>
      </c>
      <c r="L107" s="81">
        <v>86</v>
      </c>
      <c r="M107" s="81">
        <v>4</v>
      </c>
      <c r="N107" s="81">
        <f>ROUND(_xlfn.XLOOKUP(B107,'CTE Data'!A:A,'CTE Data'!B:B,0)*H107,0)</f>
        <v>0</v>
      </c>
      <c r="O107" s="76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">
      <c r="A108" s="80" t="s">
        <v>205</v>
      </c>
      <c r="B108" s="80" t="s">
        <v>233</v>
      </c>
      <c r="C108" s="81">
        <v>157</v>
      </c>
      <c r="D108" s="81">
        <v>264</v>
      </c>
      <c r="E108" s="80">
        <v>60</v>
      </c>
      <c r="F108" s="81">
        <v>48</v>
      </c>
      <c r="G108" s="81">
        <v>20</v>
      </c>
      <c r="H108" s="81">
        <v>549</v>
      </c>
      <c r="I108" s="82">
        <v>46.04</v>
      </c>
      <c r="J108" s="82">
        <v>-0.32</v>
      </c>
      <c r="K108" s="82">
        <v>0.64</v>
      </c>
      <c r="L108" s="81">
        <v>358</v>
      </c>
      <c r="M108" s="81">
        <v>106</v>
      </c>
      <c r="N108" s="81">
        <f>ROUND(_xlfn.XLOOKUP(B108,'CTE Data'!A:A,'CTE Data'!B:B,0)*H108,0)</f>
        <v>48</v>
      </c>
      <c r="O108" s="76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">
      <c r="A109" s="80" t="s">
        <v>205</v>
      </c>
      <c r="B109" s="80" t="s">
        <v>234</v>
      </c>
      <c r="C109" s="81">
        <v>196</v>
      </c>
      <c r="D109" s="81">
        <v>88</v>
      </c>
      <c r="E109" s="80">
        <v>18</v>
      </c>
      <c r="F109" s="81">
        <v>15</v>
      </c>
      <c r="G109" s="81">
        <v>16</v>
      </c>
      <c r="H109" s="81">
        <v>333</v>
      </c>
      <c r="I109" s="82">
        <v>27.29</v>
      </c>
      <c r="J109" s="82">
        <v>0</v>
      </c>
      <c r="K109" s="82">
        <v>0</v>
      </c>
      <c r="L109" s="81">
        <v>68</v>
      </c>
      <c r="M109" s="81">
        <v>32</v>
      </c>
      <c r="N109" s="81">
        <f>ROUND(_xlfn.XLOOKUP(B109,'CTE Data'!A:A,'CTE Data'!B:B,0)*H109,0)</f>
        <v>0</v>
      </c>
      <c r="O109" s="76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">
      <c r="A110" s="80" t="s">
        <v>205</v>
      </c>
      <c r="B110" s="80" t="s">
        <v>235</v>
      </c>
      <c r="C110" s="81">
        <v>164</v>
      </c>
      <c r="D110" s="81">
        <v>78</v>
      </c>
      <c r="E110" s="80">
        <v>18</v>
      </c>
      <c r="F110" s="81">
        <v>18</v>
      </c>
      <c r="G110" s="81">
        <v>5</v>
      </c>
      <c r="H110" s="81">
        <v>283</v>
      </c>
      <c r="I110" s="82">
        <v>21.08</v>
      </c>
      <c r="J110" s="82">
        <v>0</v>
      </c>
      <c r="K110" s="82">
        <v>0</v>
      </c>
      <c r="L110" s="81">
        <v>59</v>
      </c>
      <c r="M110" s="81">
        <v>29</v>
      </c>
      <c r="N110" s="81">
        <f>ROUND(_xlfn.XLOOKUP(B110,'CTE Data'!A:A,'CTE Data'!B:B,0)*H110,0)</f>
        <v>0</v>
      </c>
      <c r="O110" s="76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85" customFormat="1" x14ac:dyDescent="0.2">
      <c r="A111" s="85" t="s">
        <v>205</v>
      </c>
      <c r="B111" s="85" t="s">
        <v>236</v>
      </c>
      <c r="C111" s="86">
        <v>3209</v>
      </c>
      <c r="D111" s="86">
        <v>6027</v>
      </c>
      <c r="E111" s="85">
        <v>1335</v>
      </c>
      <c r="F111" s="86">
        <v>950</v>
      </c>
      <c r="G111" s="86">
        <v>1278</v>
      </c>
      <c r="H111" s="86">
        <v>12799</v>
      </c>
      <c r="I111" s="88">
        <v>1331.85</v>
      </c>
      <c r="J111" s="88">
        <v>-23.62</v>
      </c>
      <c r="K111" s="88">
        <v>47.23</v>
      </c>
      <c r="L111" s="86">
        <v>4454</v>
      </c>
      <c r="M111" s="86">
        <v>1873</v>
      </c>
      <c r="N111" s="86">
        <f>SUM(N81:N110)</f>
        <v>1037</v>
      </c>
      <c r="O111" s="88">
        <f>SUM(O81:O110)</f>
        <v>27</v>
      </c>
      <c r="P111" s="88">
        <f t="shared" ref="P111:R111" si="35">SUM(P81:P110)</f>
        <v>54</v>
      </c>
      <c r="Q111" s="88">
        <f t="shared" si="35"/>
        <v>266.36400000000003</v>
      </c>
      <c r="R111" s="88">
        <f t="shared" si="35"/>
        <v>146</v>
      </c>
      <c r="S111" s="87">
        <f t="shared" si="26"/>
        <v>2</v>
      </c>
      <c r="T111" s="87">
        <f t="shared" si="34"/>
        <v>6</v>
      </c>
      <c r="U111" s="87">
        <f>MAX(1,1+INT((I111-500)/500))</f>
        <v>2</v>
      </c>
    </row>
    <row r="112" spans="1:21" x14ac:dyDescent="0.2">
      <c r="A112" s="80" t="s">
        <v>237</v>
      </c>
      <c r="B112" s="80" t="s">
        <v>238</v>
      </c>
      <c r="C112" s="81">
        <v>0</v>
      </c>
      <c r="D112" s="81">
        <v>671</v>
      </c>
      <c r="E112" s="81">
        <v>103</v>
      </c>
      <c r="F112" s="81">
        <v>60</v>
      </c>
      <c r="G112" s="81">
        <v>10</v>
      </c>
      <c r="H112" s="81">
        <v>844</v>
      </c>
      <c r="I112" s="82">
        <v>60.88</v>
      </c>
      <c r="J112" s="82">
        <v>-1.22</v>
      </c>
      <c r="K112" s="82">
        <v>2.44</v>
      </c>
      <c r="L112" s="81">
        <v>202</v>
      </c>
      <c r="M112" s="81">
        <v>74</v>
      </c>
      <c r="N112" s="81">
        <f>ROUND(_xlfn.XLOOKUP(B112,'CTE Data'!A:A,'CTE Data'!B:B,0)*H112,0)</f>
        <v>132</v>
      </c>
      <c r="O112" s="76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">
      <c r="A113" s="80" t="s">
        <v>237</v>
      </c>
      <c r="B113" s="80" t="s">
        <v>239</v>
      </c>
      <c r="C113" s="81">
        <v>227</v>
      </c>
      <c r="D113" s="81">
        <v>119</v>
      </c>
      <c r="E113" s="81">
        <v>24</v>
      </c>
      <c r="F113" s="81">
        <v>34</v>
      </c>
      <c r="G113" s="81">
        <v>6</v>
      </c>
      <c r="H113" s="81">
        <v>410</v>
      </c>
      <c r="I113" s="82">
        <v>30.8</v>
      </c>
      <c r="J113" s="82">
        <v>0</v>
      </c>
      <c r="K113" s="82">
        <v>0</v>
      </c>
      <c r="L113" s="81">
        <v>177</v>
      </c>
      <c r="M113" s="81">
        <v>97</v>
      </c>
      <c r="N113" s="81">
        <f>ROUND(_xlfn.XLOOKUP(B113,'CTE Data'!A:A,'CTE Data'!B:B,0)*H113,0)</f>
        <v>0</v>
      </c>
      <c r="O113" s="76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">
      <c r="A114" s="80" t="s">
        <v>237</v>
      </c>
      <c r="B114" s="80" t="s">
        <v>240</v>
      </c>
      <c r="C114" s="81">
        <v>152</v>
      </c>
      <c r="D114" s="81">
        <v>81</v>
      </c>
      <c r="E114" s="81">
        <v>24</v>
      </c>
      <c r="F114" s="81">
        <v>22</v>
      </c>
      <c r="G114" s="81">
        <v>3</v>
      </c>
      <c r="H114" s="81">
        <v>282</v>
      </c>
      <c r="I114" s="82">
        <v>21.11</v>
      </c>
      <c r="J114" s="82">
        <v>0</v>
      </c>
      <c r="K114" s="82">
        <v>0</v>
      </c>
      <c r="L114" s="81">
        <v>108</v>
      </c>
      <c r="M114" s="81">
        <v>55</v>
      </c>
      <c r="N114" s="81">
        <f>ROUND(_xlfn.XLOOKUP(B114,'CTE Data'!A:A,'CTE Data'!B:B,0)*H114,0)</f>
        <v>0</v>
      </c>
      <c r="O114" s="76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">
      <c r="A115" s="80" t="s">
        <v>237</v>
      </c>
      <c r="B115" s="80" t="s">
        <v>241</v>
      </c>
      <c r="C115" s="81">
        <v>254</v>
      </c>
      <c r="D115" s="81">
        <v>103</v>
      </c>
      <c r="E115" s="81">
        <v>39</v>
      </c>
      <c r="F115" s="81">
        <v>31</v>
      </c>
      <c r="G115" s="81">
        <v>8</v>
      </c>
      <c r="H115" s="81">
        <v>435</v>
      </c>
      <c r="I115" s="82">
        <v>33.72</v>
      </c>
      <c r="J115" s="82">
        <v>0</v>
      </c>
      <c r="K115" s="82">
        <v>0</v>
      </c>
      <c r="L115" s="81">
        <v>196</v>
      </c>
      <c r="M115" s="81">
        <v>99</v>
      </c>
      <c r="N115" s="81">
        <f>ROUND(_xlfn.XLOOKUP(B115,'CTE Data'!A:A,'CTE Data'!B:B,0)*H115,0)</f>
        <v>0</v>
      </c>
      <c r="O115" s="76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">
      <c r="A116" s="80" t="s">
        <v>237</v>
      </c>
      <c r="B116" s="80" t="s">
        <v>242</v>
      </c>
      <c r="C116" s="81">
        <v>0</v>
      </c>
      <c r="D116" s="81">
        <v>0</v>
      </c>
      <c r="E116" s="81">
        <v>0</v>
      </c>
      <c r="F116" s="81">
        <v>23</v>
      </c>
      <c r="G116" s="81">
        <v>69</v>
      </c>
      <c r="H116" s="81">
        <v>92</v>
      </c>
      <c r="I116" s="82">
        <v>33.93</v>
      </c>
      <c r="J116" s="82">
        <v>-3.57</v>
      </c>
      <c r="K116" s="82">
        <v>7.13</v>
      </c>
      <c r="L116" s="81">
        <v>12</v>
      </c>
      <c r="M116" s="81">
        <v>1</v>
      </c>
      <c r="N116" s="81">
        <f>ROUND(_xlfn.XLOOKUP(B116,'CTE Data'!A:A,'CTE Data'!B:B,0)*H116,0)</f>
        <v>0</v>
      </c>
      <c r="O116" s="76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">
      <c r="A117" s="80" t="s">
        <v>237</v>
      </c>
      <c r="B117" s="80" t="s">
        <v>243</v>
      </c>
      <c r="C117" s="81">
        <v>0</v>
      </c>
      <c r="D117" s="81">
        <v>436</v>
      </c>
      <c r="E117" s="81">
        <v>71</v>
      </c>
      <c r="F117" s="81">
        <v>64</v>
      </c>
      <c r="G117" s="81">
        <v>0</v>
      </c>
      <c r="H117" s="81">
        <v>571</v>
      </c>
      <c r="I117" s="82">
        <v>42.7</v>
      </c>
      <c r="J117" s="82">
        <v>-1.79</v>
      </c>
      <c r="K117" s="82">
        <v>3.57</v>
      </c>
      <c r="L117" s="81">
        <v>228</v>
      </c>
      <c r="M117" s="81">
        <v>108</v>
      </c>
      <c r="N117" s="81">
        <f>ROUND(_xlfn.XLOOKUP(B117,'CTE Data'!A:A,'CTE Data'!B:B,0)*H117,0)</f>
        <v>91</v>
      </c>
      <c r="O117" s="76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">
      <c r="A118" s="80" t="s">
        <v>237</v>
      </c>
      <c r="B118" s="80" t="s">
        <v>244</v>
      </c>
      <c r="C118" s="81">
        <v>192</v>
      </c>
      <c r="D118" s="81">
        <v>97</v>
      </c>
      <c r="E118" s="81">
        <v>30</v>
      </c>
      <c r="F118" s="81">
        <v>26</v>
      </c>
      <c r="G118" s="81">
        <v>4</v>
      </c>
      <c r="H118" s="81">
        <v>349</v>
      </c>
      <c r="I118" s="82">
        <v>26.14</v>
      </c>
      <c r="J118" s="82">
        <v>0</v>
      </c>
      <c r="K118" s="82">
        <v>0</v>
      </c>
      <c r="L118" s="81">
        <v>135</v>
      </c>
      <c r="M118" s="81">
        <v>76</v>
      </c>
      <c r="N118" s="81">
        <f>ROUND(_xlfn.XLOOKUP(B118,'CTE Data'!A:A,'CTE Data'!B:B,0)*H118,0)</f>
        <v>0</v>
      </c>
      <c r="O118" s="76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">
      <c r="A119" s="80" t="s">
        <v>237</v>
      </c>
      <c r="B119" s="80" t="s">
        <v>245</v>
      </c>
      <c r="C119" s="81">
        <v>0</v>
      </c>
      <c r="D119" s="81">
        <v>1448</v>
      </c>
      <c r="E119" s="81">
        <v>198</v>
      </c>
      <c r="F119" s="81">
        <v>319</v>
      </c>
      <c r="G119" s="81">
        <v>42</v>
      </c>
      <c r="H119" s="81">
        <v>2007</v>
      </c>
      <c r="I119" s="82">
        <v>177</v>
      </c>
      <c r="J119" s="82">
        <v>-11.71</v>
      </c>
      <c r="K119" s="82">
        <v>23.42</v>
      </c>
      <c r="L119" s="81">
        <v>578</v>
      </c>
      <c r="M119" s="81">
        <v>309</v>
      </c>
      <c r="N119" s="81">
        <f>ROUND(_xlfn.XLOOKUP(B119,'CTE Data'!A:A,'CTE Data'!B:B,0)*H119,0)</f>
        <v>361</v>
      </c>
      <c r="O119" s="76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">
      <c r="A120" s="80" t="s">
        <v>237</v>
      </c>
      <c r="B120" s="80" t="s">
        <v>246</v>
      </c>
      <c r="C120" s="81">
        <v>219</v>
      </c>
      <c r="D120" s="81">
        <v>117</v>
      </c>
      <c r="E120" s="81">
        <v>17</v>
      </c>
      <c r="F120" s="81">
        <v>31</v>
      </c>
      <c r="G120" s="81">
        <v>6</v>
      </c>
      <c r="H120" s="81">
        <v>390</v>
      </c>
      <c r="I120" s="82">
        <v>28.87</v>
      </c>
      <c r="J120" s="82">
        <v>0</v>
      </c>
      <c r="K120" s="82">
        <v>0</v>
      </c>
      <c r="L120" s="81">
        <v>135</v>
      </c>
      <c r="M120" s="81">
        <v>60</v>
      </c>
      <c r="N120" s="81">
        <f>ROUND(_xlfn.XLOOKUP(B120,'CTE Data'!A:A,'CTE Data'!B:B,0)*H120,0)</f>
        <v>0</v>
      </c>
      <c r="O120" s="76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">
      <c r="A121" s="80" t="s">
        <v>237</v>
      </c>
      <c r="B121" s="80" t="s">
        <v>247</v>
      </c>
      <c r="C121" s="81">
        <v>0</v>
      </c>
      <c r="D121" s="81">
        <v>396</v>
      </c>
      <c r="E121" s="81">
        <v>70</v>
      </c>
      <c r="F121" s="81">
        <v>91</v>
      </c>
      <c r="G121" s="81">
        <v>36</v>
      </c>
      <c r="H121" s="81">
        <v>593</v>
      </c>
      <c r="I121" s="82">
        <v>60.74</v>
      </c>
      <c r="J121" s="82">
        <v>-3.59</v>
      </c>
      <c r="K121" s="82">
        <v>7.18</v>
      </c>
      <c r="L121" s="81">
        <v>184</v>
      </c>
      <c r="M121" s="81">
        <v>116</v>
      </c>
      <c r="N121" s="81">
        <f>ROUND(_xlfn.XLOOKUP(B121,'CTE Data'!A:A,'CTE Data'!B:B,0)*H121,0)</f>
        <v>122</v>
      </c>
      <c r="O121" s="76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">
      <c r="A122" s="80" t="s">
        <v>237</v>
      </c>
      <c r="B122" s="80" t="s">
        <v>248</v>
      </c>
      <c r="C122" s="81">
        <v>314</v>
      </c>
      <c r="D122" s="81">
        <v>150</v>
      </c>
      <c r="E122" s="81">
        <v>43</v>
      </c>
      <c r="F122" s="81">
        <v>89</v>
      </c>
      <c r="G122" s="81">
        <v>157</v>
      </c>
      <c r="H122" s="81">
        <v>753</v>
      </c>
      <c r="I122" s="82">
        <v>107.21</v>
      </c>
      <c r="J122" s="82">
        <v>0</v>
      </c>
      <c r="K122" s="82">
        <v>0</v>
      </c>
      <c r="L122" s="81">
        <v>214</v>
      </c>
      <c r="M122" s="81">
        <v>49</v>
      </c>
      <c r="N122" s="81">
        <f>ROUND(_xlfn.XLOOKUP(B122,'CTE Data'!A:A,'CTE Data'!B:B,0)*H122,0)</f>
        <v>0</v>
      </c>
      <c r="O122" s="76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">
      <c r="A123" s="80" t="s">
        <v>237</v>
      </c>
      <c r="B123" s="80" t="s">
        <v>249</v>
      </c>
      <c r="C123" s="81">
        <v>0</v>
      </c>
      <c r="D123" s="81">
        <v>0</v>
      </c>
      <c r="E123" s="81">
        <v>117</v>
      </c>
      <c r="F123" s="81">
        <v>44</v>
      </c>
      <c r="G123" s="81">
        <v>65</v>
      </c>
      <c r="H123" s="81">
        <v>226</v>
      </c>
      <c r="I123" s="82">
        <v>46.26</v>
      </c>
      <c r="J123" s="82">
        <v>0</v>
      </c>
      <c r="K123" s="82">
        <v>0</v>
      </c>
      <c r="L123" s="81">
        <v>76</v>
      </c>
      <c r="M123" s="81">
        <v>0</v>
      </c>
      <c r="N123" s="81">
        <f>ROUND(_xlfn.XLOOKUP(B123,'CTE Data'!A:A,'CTE Data'!B:B,0)*H123,0)</f>
        <v>0</v>
      </c>
      <c r="O123" s="76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">
      <c r="A124" s="80" t="s">
        <v>237</v>
      </c>
      <c r="B124" s="80" t="s">
        <v>250</v>
      </c>
      <c r="C124" s="81">
        <v>593</v>
      </c>
      <c r="D124" s="81">
        <v>292</v>
      </c>
      <c r="E124" s="81">
        <v>51</v>
      </c>
      <c r="F124" s="81">
        <v>64</v>
      </c>
      <c r="G124" s="81">
        <v>9</v>
      </c>
      <c r="H124" s="81">
        <v>1009</v>
      </c>
      <c r="I124" s="82">
        <v>71.400000000000006</v>
      </c>
      <c r="J124" s="82">
        <v>0</v>
      </c>
      <c r="K124" s="82">
        <v>0</v>
      </c>
      <c r="L124" s="81">
        <v>285</v>
      </c>
      <c r="M124" s="81">
        <v>115</v>
      </c>
      <c r="N124" s="81">
        <f>ROUND(_xlfn.XLOOKUP(B124,'CTE Data'!A:A,'CTE Data'!B:B,0)*H124,0)</f>
        <v>0</v>
      </c>
      <c r="O124" s="76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">
      <c r="A125" s="80" t="s">
        <v>237</v>
      </c>
      <c r="B125" s="80" t="s">
        <v>251</v>
      </c>
      <c r="C125" s="81">
        <v>171</v>
      </c>
      <c r="D125" s="81">
        <v>85</v>
      </c>
      <c r="E125" s="81">
        <v>20</v>
      </c>
      <c r="F125" s="81">
        <v>33</v>
      </c>
      <c r="G125" s="81">
        <v>5</v>
      </c>
      <c r="H125" s="81">
        <v>314</v>
      </c>
      <c r="I125" s="82">
        <v>24.61</v>
      </c>
      <c r="J125" s="82">
        <v>0</v>
      </c>
      <c r="K125" s="82">
        <v>0</v>
      </c>
      <c r="L125" s="81">
        <v>98</v>
      </c>
      <c r="M125" s="81">
        <v>47</v>
      </c>
      <c r="N125" s="81">
        <f>ROUND(_xlfn.XLOOKUP(B125,'CTE Data'!A:A,'CTE Data'!B:B,0)*H125,0)</f>
        <v>0</v>
      </c>
      <c r="O125" s="76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85" customFormat="1" x14ac:dyDescent="0.2">
      <c r="A126" s="85" t="s">
        <v>237</v>
      </c>
      <c r="B126" s="85" t="s">
        <v>252</v>
      </c>
      <c r="C126" s="86">
        <v>2122</v>
      </c>
      <c r="D126" s="86">
        <v>3995</v>
      </c>
      <c r="E126" s="86">
        <v>807</v>
      </c>
      <c r="F126" s="86">
        <v>931</v>
      </c>
      <c r="G126" s="86">
        <v>420</v>
      </c>
      <c r="H126" s="86">
        <v>8275</v>
      </c>
      <c r="I126" s="88">
        <v>765.39</v>
      </c>
      <c r="J126" s="88">
        <v>-21.87</v>
      </c>
      <c r="K126" s="88">
        <v>43.74</v>
      </c>
      <c r="L126" s="86">
        <v>2628</v>
      </c>
      <c r="M126" s="86">
        <v>1206</v>
      </c>
      <c r="N126" s="86">
        <f>SUM(N112:N125)</f>
        <v>706</v>
      </c>
      <c r="O126" s="88">
        <f>SUM(O112:O125)</f>
        <v>14</v>
      </c>
      <c r="P126" s="88">
        <f t="shared" ref="P126:R126" si="40">SUM(P112:P125)</f>
        <v>35</v>
      </c>
      <c r="Q126" s="88">
        <f t="shared" si="40"/>
        <v>153.07400000000001</v>
      </c>
      <c r="R126" s="88">
        <f t="shared" si="40"/>
        <v>85</v>
      </c>
      <c r="S126" s="87">
        <f t="shared" si="26"/>
        <v>2</v>
      </c>
      <c r="T126" s="87">
        <f t="shared" si="39"/>
        <v>6</v>
      </c>
      <c r="U126" s="87">
        <f>MAX(1,1+INT((I126-500)/500))</f>
        <v>1</v>
      </c>
    </row>
    <row r="127" spans="1:21" x14ac:dyDescent="0.2">
      <c r="A127" s="80" t="s">
        <v>163</v>
      </c>
      <c r="B127" s="80" t="s">
        <v>164</v>
      </c>
      <c r="C127" s="81">
        <v>272</v>
      </c>
      <c r="D127" s="81">
        <v>214</v>
      </c>
      <c r="E127" s="81">
        <v>29</v>
      </c>
      <c r="F127" s="81">
        <v>4</v>
      </c>
      <c r="G127" s="81">
        <v>4</v>
      </c>
      <c r="H127" s="81">
        <v>523</v>
      </c>
      <c r="I127" s="82">
        <v>33.15</v>
      </c>
      <c r="J127" s="82">
        <v>0</v>
      </c>
      <c r="K127" s="82">
        <v>0</v>
      </c>
      <c r="L127" s="81">
        <v>98</v>
      </c>
      <c r="M127" s="81">
        <v>25</v>
      </c>
      <c r="N127" s="81">
        <f>ROUND(_xlfn.XLOOKUP(B127,'CTE Data'!A:A,'CTE Data'!B:B,0)*H127,0)</f>
        <v>0</v>
      </c>
      <c r="O127" s="76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">
      <c r="A128" s="80" t="s">
        <v>163</v>
      </c>
      <c r="B128" s="80" t="s">
        <v>165</v>
      </c>
      <c r="C128" s="81">
        <v>0</v>
      </c>
      <c r="D128" s="81">
        <v>1917</v>
      </c>
      <c r="E128" s="81">
        <v>257</v>
      </c>
      <c r="F128" s="81">
        <v>64</v>
      </c>
      <c r="G128" s="81">
        <v>18</v>
      </c>
      <c r="H128" s="81">
        <v>2256</v>
      </c>
      <c r="I128" s="82">
        <v>152.47</v>
      </c>
      <c r="J128" s="82">
        <v>-8.44</v>
      </c>
      <c r="K128" s="82">
        <v>16.87</v>
      </c>
      <c r="L128" s="81">
        <v>472</v>
      </c>
      <c r="M128" s="81">
        <v>147</v>
      </c>
      <c r="N128" s="81">
        <f>ROUND(_xlfn.XLOOKUP(B128,'CTE Data'!A:A,'CTE Data'!B:B,0)*H128,0)</f>
        <v>246</v>
      </c>
      <c r="O128" s="76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">
      <c r="A129" s="80" t="s">
        <v>163</v>
      </c>
      <c r="B129" s="80" t="s">
        <v>166</v>
      </c>
      <c r="C129" s="81">
        <v>203</v>
      </c>
      <c r="D129" s="81">
        <v>207</v>
      </c>
      <c r="E129" s="81">
        <v>58</v>
      </c>
      <c r="F129" s="81">
        <v>15</v>
      </c>
      <c r="G129" s="81">
        <v>3</v>
      </c>
      <c r="H129" s="81">
        <v>486</v>
      </c>
      <c r="I129" s="82">
        <v>33.43</v>
      </c>
      <c r="J129" s="82">
        <v>0</v>
      </c>
      <c r="K129" s="82">
        <v>0</v>
      </c>
      <c r="L129" s="81">
        <v>150</v>
      </c>
      <c r="M129" s="81">
        <v>44</v>
      </c>
      <c r="N129" s="81">
        <f>ROUND(_xlfn.XLOOKUP(B129,'CTE Data'!A:A,'CTE Data'!B:B,0)*H129,0)</f>
        <v>0</v>
      </c>
      <c r="O129" s="76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">
      <c r="A130" s="80" t="s">
        <v>163</v>
      </c>
      <c r="B130" s="80" t="s">
        <v>167</v>
      </c>
      <c r="C130" s="81">
        <v>0</v>
      </c>
      <c r="D130" s="81">
        <v>581</v>
      </c>
      <c r="E130" s="81">
        <v>78</v>
      </c>
      <c r="F130" s="81">
        <v>16</v>
      </c>
      <c r="G130" s="81">
        <v>37</v>
      </c>
      <c r="H130" s="81">
        <v>712</v>
      </c>
      <c r="I130" s="82">
        <v>57.12</v>
      </c>
      <c r="J130" s="82">
        <v>-1.88</v>
      </c>
      <c r="K130" s="82">
        <v>3.76</v>
      </c>
      <c r="L130" s="81">
        <v>179</v>
      </c>
      <c r="M130" s="81">
        <v>53</v>
      </c>
      <c r="N130" s="81">
        <f>ROUND(_xlfn.XLOOKUP(B130,'CTE Data'!A:A,'CTE Data'!B:B,0)*H130,0)</f>
        <v>82</v>
      </c>
      <c r="O130" s="76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">
      <c r="A131" s="80" t="s">
        <v>163</v>
      </c>
      <c r="B131" s="80" t="s">
        <v>168</v>
      </c>
      <c r="C131" s="81">
        <v>0</v>
      </c>
      <c r="D131" s="81">
        <v>593</v>
      </c>
      <c r="E131" s="81">
        <v>94</v>
      </c>
      <c r="F131" s="81">
        <v>46</v>
      </c>
      <c r="G131" s="81">
        <v>17</v>
      </c>
      <c r="H131" s="81">
        <v>750</v>
      </c>
      <c r="I131" s="82">
        <v>57.17</v>
      </c>
      <c r="J131" s="82">
        <v>-2.13</v>
      </c>
      <c r="K131" s="82">
        <v>4.25</v>
      </c>
      <c r="L131" s="81">
        <v>196</v>
      </c>
      <c r="M131" s="81">
        <v>47</v>
      </c>
      <c r="N131" s="81">
        <f>ROUND(_xlfn.XLOOKUP(B131,'CTE Data'!A:A,'CTE Data'!B:B,0)*H131,0)</f>
        <v>85</v>
      </c>
      <c r="O131" s="76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">
      <c r="A132" s="80" t="s">
        <v>163</v>
      </c>
      <c r="B132" s="80" t="s">
        <v>169</v>
      </c>
      <c r="C132" s="81">
        <v>426</v>
      </c>
      <c r="D132" s="81">
        <v>0</v>
      </c>
      <c r="E132" s="81">
        <v>4</v>
      </c>
      <c r="F132" s="81">
        <v>28</v>
      </c>
      <c r="G132" s="81">
        <v>4</v>
      </c>
      <c r="H132" s="81">
        <v>462</v>
      </c>
      <c r="I132" s="82">
        <v>32.99</v>
      </c>
      <c r="J132" s="82">
        <v>0</v>
      </c>
      <c r="K132" s="82">
        <v>0</v>
      </c>
      <c r="L132" s="81">
        <v>127</v>
      </c>
      <c r="M132" s="81">
        <v>33</v>
      </c>
      <c r="N132" s="81">
        <f>ROUND(_xlfn.XLOOKUP(B132,'CTE Data'!A:A,'CTE Data'!B:B,0)*H132,0)</f>
        <v>0</v>
      </c>
      <c r="O132" s="76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">
      <c r="A133" s="80" t="s">
        <v>163</v>
      </c>
      <c r="B133" s="80" t="s">
        <v>170</v>
      </c>
      <c r="C133" s="81">
        <v>76</v>
      </c>
      <c r="D133" s="81">
        <v>53</v>
      </c>
      <c r="E133" s="81">
        <v>29</v>
      </c>
      <c r="F133" s="81">
        <v>5</v>
      </c>
      <c r="G133" s="81">
        <v>289</v>
      </c>
      <c r="H133" s="81">
        <v>452</v>
      </c>
      <c r="I133" s="82">
        <v>124.73</v>
      </c>
      <c r="J133" s="82">
        <v>-1.95</v>
      </c>
      <c r="K133" s="82">
        <v>3.9</v>
      </c>
      <c r="L133" s="81">
        <v>95</v>
      </c>
      <c r="M133" s="81">
        <v>9</v>
      </c>
      <c r="N133" s="81">
        <f>ROUND(_xlfn.XLOOKUP(B133,'CTE Data'!A:A,'CTE Data'!B:B,0)*H133,0)</f>
        <v>452</v>
      </c>
      <c r="O133" s="76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">
      <c r="A134" s="80" t="s">
        <v>163</v>
      </c>
      <c r="B134" s="80" t="s">
        <v>171</v>
      </c>
      <c r="C134" s="81">
        <v>0</v>
      </c>
      <c r="D134" s="81">
        <v>394</v>
      </c>
      <c r="E134" s="81">
        <v>61</v>
      </c>
      <c r="F134" s="81">
        <v>12</v>
      </c>
      <c r="G134" s="81">
        <v>4</v>
      </c>
      <c r="H134" s="81">
        <v>471</v>
      </c>
      <c r="I134" s="82">
        <v>31.47</v>
      </c>
      <c r="J134" s="82">
        <v>-0.97</v>
      </c>
      <c r="K134" s="82">
        <v>1.94</v>
      </c>
      <c r="L134" s="81">
        <v>100</v>
      </c>
      <c r="M134" s="81">
        <v>23</v>
      </c>
      <c r="N134" s="81">
        <f>ROUND(_xlfn.XLOOKUP(B134,'CTE Data'!A:A,'CTE Data'!B:B,0)*H134,0)</f>
        <v>36</v>
      </c>
      <c r="O134" s="76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">
      <c r="A135" s="80" t="s">
        <v>163</v>
      </c>
      <c r="B135" s="80" t="s">
        <v>172</v>
      </c>
      <c r="C135" s="81">
        <v>238</v>
      </c>
      <c r="D135" s="81">
        <v>173</v>
      </c>
      <c r="E135" s="81">
        <v>34</v>
      </c>
      <c r="F135" s="81">
        <v>19</v>
      </c>
      <c r="G135" s="81">
        <v>1</v>
      </c>
      <c r="H135" s="81">
        <v>465</v>
      </c>
      <c r="I135" s="82">
        <v>30.94</v>
      </c>
      <c r="J135" s="82">
        <v>0</v>
      </c>
      <c r="K135" s="82">
        <v>0</v>
      </c>
      <c r="L135" s="81">
        <v>125</v>
      </c>
      <c r="M135" s="81">
        <v>20</v>
      </c>
      <c r="N135" s="81">
        <f>ROUND(_xlfn.XLOOKUP(B135,'CTE Data'!A:A,'CTE Data'!B:B,0)*H135,0)</f>
        <v>0</v>
      </c>
      <c r="O135" s="76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">
      <c r="A136" s="80" t="s">
        <v>163</v>
      </c>
      <c r="B136" s="80" t="s">
        <v>173</v>
      </c>
      <c r="C136" s="81">
        <v>153</v>
      </c>
      <c r="D136" s="81">
        <v>109</v>
      </c>
      <c r="E136" s="81">
        <v>42</v>
      </c>
      <c r="F136" s="81">
        <v>62</v>
      </c>
      <c r="G136" s="81">
        <v>2</v>
      </c>
      <c r="H136" s="81">
        <v>368</v>
      </c>
      <c r="I136" s="82">
        <v>30.99</v>
      </c>
      <c r="J136" s="82">
        <v>0</v>
      </c>
      <c r="K136" s="82">
        <v>0</v>
      </c>
      <c r="L136" s="81">
        <v>138</v>
      </c>
      <c r="M136" s="81">
        <v>33</v>
      </c>
      <c r="N136" s="81">
        <f>ROUND(_xlfn.XLOOKUP(B136,'CTE Data'!A:A,'CTE Data'!B:B,0)*H136,0)</f>
        <v>0</v>
      </c>
      <c r="O136" s="76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">
      <c r="A137" s="80" t="s">
        <v>163</v>
      </c>
      <c r="B137" s="80" t="s">
        <v>174</v>
      </c>
      <c r="C137" s="81">
        <v>222</v>
      </c>
      <c r="D137" s="81">
        <v>163</v>
      </c>
      <c r="E137" s="81">
        <v>29</v>
      </c>
      <c r="F137" s="81">
        <v>17</v>
      </c>
      <c r="G137" s="81">
        <v>5</v>
      </c>
      <c r="H137" s="81">
        <v>436</v>
      </c>
      <c r="I137" s="82">
        <v>30.05</v>
      </c>
      <c r="J137" s="82">
        <v>0</v>
      </c>
      <c r="K137" s="82">
        <v>0</v>
      </c>
      <c r="L137" s="81">
        <v>121</v>
      </c>
      <c r="M137" s="81">
        <v>11</v>
      </c>
      <c r="N137" s="81">
        <f>ROUND(_xlfn.XLOOKUP(B137,'CTE Data'!A:A,'CTE Data'!B:B,0)*H137,0)</f>
        <v>0</v>
      </c>
      <c r="O137" s="76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">
      <c r="A138" s="80" t="s">
        <v>163</v>
      </c>
      <c r="B138" s="80" t="s">
        <v>175</v>
      </c>
      <c r="C138" s="81">
        <v>256</v>
      </c>
      <c r="D138" s="81">
        <v>164</v>
      </c>
      <c r="E138" s="81">
        <v>35</v>
      </c>
      <c r="F138" s="81">
        <v>28</v>
      </c>
      <c r="G138" s="81">
        <v>4</v>
      </c>
      <c r="H138" s="81">
        <v>487</v>
      </c>
      <c r="I138" s="82">
        <v>34.380000000000003</v>
      </c>
      <c r="J138" s="82">
        <v>0</v>
      </c>
      <c r="K138" s="82">
        <v>0</v>
      </c>
      <c r="L138" s="81">
        <v>155</v>
      </c>
      <c r="M138" s="81">
        <v>87</v>
      </c>
      <c r="N138" s="81">
        <f>ROUND(_xlfn.XLOOKUP(B138,'CTE Data'!A:A,'CTE Data'!B:B,0)*H138,0)</f>
        <v>0</v>
      </c>
      <c r="O138" s="76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85" customFormat="1" x14ac:dyDescent="0.2">
      <c r="A139" s="85" t="s">
        <v>163</v>
      </c>
      <c r="B139" s="85" t="s">
        <v>176</v>
      </c>
      <c r="C139" s="86">
        <v>1846</v>
      </c>
      <c r="D139" s="86">
        <v>4568</v>
      </c>
      <c r="E139" s="86">
        <v>750</v>
      </c>
      <c r="F139" s="86">
        <v>316</v>
      </c>
      <c r="G139" s="86">
        <v>388</v>
      </c>
      <c r="H139" s="86">
        <v>7868</v>
      </c>
      <c r="I139" s="88">
        <v>649.24</v>
      </c>
      <c r="J139" s="88">
        <v>-15.7</v>
      </c>
      <c r="K139" s="88">
        <v>31.4</v>
      </c>
      <c r="L139" s="86">
        <v>1956</v>
      </c>
      <c r="M139" s="85">
        <v>532</v>
      </c>
      <c r="N139" s="86">
        <f>SUM(N127:N138)</f>
        <v>901</v>
      </c>
      <c r="O139" s="88">
        <f>SUM(O127:O138)</f>
        <v>12</v>
      </c>
      <c r="P139" s="88">
        <f>SUM(P127:P138)</f>
        <v>28</v>
      </c>
      <c r="Q139" s="88">
        <f>SUM(Q127:Q138)</f>
        <v>129.77799999999999</v>
      </c>
      <c r="R139" s="88">
        <f>SUM(R127:R138)</f>
        <v>70</v>
      </c>
      <c r="S139" s="87">
        <f t="shared" si="45"/>
        <v>2</v>
      </c>
      <c r="T139" s="87">
        <f t="shared" si="44"/>
        <v>6</v>
      </c>
      <c r="U139" s="87">
        <f>MAX(1,1+INT((I139-500)/500))</f>
        <v>1</v>
      </c>
    </row>
    <row r="140" spans="1:21" s="85" customFormat="1" x14ac:dyDescent="0.2">
      <c r="A140" s="85" t="s">
        <v>386</v>
      </c>
      <c r="B140" s="85" t="s">
        <v>386</v>
      </c>
      <c r="C140" s="86">
        <v>0</v>
      </c>
      <c r="D140" s="86">
        <v>501</v>
      </c>
      <c r="E140" s="85">
        <v>54</v>
      </c>
      <c r="F140" s="86">
        <v>0</v>
      </c>
      <c r="G140" s="86">
        <v>0</v>
      </c>
      <c r="H140" s="86">
        <v>555</v>
      </c>
      <c r="I140" s="87">
        <v>33.229999999999997</v>
      </c>
      <c r="J140" s="87">
        <v>-1.75</v>
      </c>
      <c r="K140" s="87">
        <v>3.5</v>
      </c>
      <c r="L140" s="86">
        <v>61</v>
      </c>
      <c r="M140" s="86">
        <v>16</v>
      </c>
      <c r="N140" s="86">
        <f>ROUND(_xlfn.XLOOKUP(B140,'CTE Data'!A:A,'CTE Data'!B:B,0)*H140,0)</f>
        <v>0</v>
      </c>
      <c r="O140" s="88">
        <v>1</v>
      </c>
      <c r="P140" s="87">
        <f>ROUNDDOWN(IF(I140+Q140+R140&lt;15,0,IF(I140+Q140+R140&lt;25,0,IF(I140+Q140+R140&lt;30,0.65,IF(I140+Q140+R140&lt;50,1,IF(I140+Q140+R140&lt;55,1.65,2+(I140+Q140+R140-55)/20))))),0)</f>
        <v>1</v>
      </c>
      <c r="Q140" s="87">
        <f>I140*0.2</f>
        <v>6.6459999999999999</v>
      </c>
      <c r="R140" s="87">
        <f>ROUNDDOWN(IF(I140+O140+Q140&lt;100,INT((I140+O140+Q140)/10),10+INT(((I140+O140+Q140)-100)/12)),0)</f>
        <v>4</v>
      </c>
      <c r="S140" s="87">
        <f t="shared" si="45"/>
        <v>0</v>
      </c>
      <c r="T140" s="87">
        <f t="shared" si="44"/>
        <v>0</v>
      </c>
      <c r="U140" s="87">
        <v>1</v>
      </c>
    </row>
    <row r="141" spans="1:21" x14ac:dyDescent="0.2">
      <c r="A141" s="80" t="s">
        <v>253</v>
      </c>
      <c r="B141" s="80" t="s">
        <v>254</v>
      </c>
      <c r="C141" s="81">
        <v>0</v>
      </c>
      <c r="D141" s="81">
        <v>630</v>
      </c>
      <c r="E141" s="81">
        <v>40</v>
      </c>
      <c r="F141" s="81">
        <v>15</v>
      </c>
      <c r="G141" s="81">
        <v>9</v>
      </c>
      <c r="H141" s="81">
        <v>694</v>
      </c>
      <c r="I141" s="82">
        <v>47.29</v>
      </c>
      <c r="J141" s="82">
        <v>-5.07</v>
      </c>
      <c r="K141" s="82">
        <v>10.14</v>
      </c>
      <c r="L141" s="81">
        <v>74</v>
      </c>
      <c r="M141" s="81">
        <v>38</v>
      </c>
      <c r="N141" s="81">
        <f>ROUND(_xlfn.XLOOKUP(B141,'CTE Data'!A:A,'CTE Data'!B:B,0)*H141,0)</f>
        <v>155</v>
      </c>
      <c r="O141" s="76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">
      <c r="A142" s="80" t="s">
        <v>253</v>
      </c>
      <c r="B142" s="80" t="s">
        <v>255</v>
      </c>
      <c r="C142" s="81">
        <v>0</v>
      </c>
      <c r="D142" s="81">
        <v>695</v>
      </c>
      <c r="E142" s="81">
        <v>58</v>
      </c>
      <c r="F142" s="81">
        <v>15</v>
      </c>
      <c r="G142" s="81">
        <v>9</v>
      </c>
      <c r="H142" s="81">
        <v>777</v>
      </c>
      <c r="I142" s="82">
        <v>49.63</v>
      </c>
      <c r="J142" s="82">
        <v>-2.02</v>
      </c>
      <c r="K142" s="82">
        <v>4.04</v>
      </c>
      <c r="L142" s="81">
        <v>104</v>
      </c>
      <c r="M142" s="81">
        <v>52</v>
      </c>
      <c r="N142" s="81">
        <f>ROUND(_xlfn.XLOOKUP(B142,'CTE Data'!A:A,'CTE Data'!B:B,0)*H142,0)</f>
        <v>100</v>
      </c>
      <c r="O142" s="76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85" customFormat="1" x14ac:dyDescent="0.2">
      <c r="A143" s="85" t="s">
        <v>253</v>
      </c>
      <c r="B143" s="85" t="s">
        <v>256</v>
      </c>
      <c r="C143" s="86">
        <v>0</v>
      </c>
      <c r="D143" s="86">
        <v>1325</v>
      </c>
      <c r="E143" s="86">
        <v>98</v>
      </c>
      <c r="F143" s="86">
        <v>30</v>
      </c>
      <c r="G143" s="86">
        <v>18</v>
      </c>
      <c r="H143" s="86">
        <v>1471</v>
      </c>
      <c r="I143" s="88">
        <v>96.92</v>
      </c>
      <c r="J143" s="88">
        <v>-7.09</v>
      </c>
      <c r="K143" s="88">
        <v>14.18</v>
      </c>
      <c r="L143" s="86">
        <v>178</v>
      </c>
      <c r="M143" s="86">
        <v>90</v>
      </c>
      <c r="N143" s="86">
        <f>SUM(N141:N142)</f>
        <v>255</v>
      </c>
      <c r="O143" s="88">
        <f>SUM(O141:O142)</f>
        <v>2</v>
      </c>
      <c r="P143" s="88">
        <f t="shared" ref="P143:R143" si="46">SUM(P141:P142)</f>
        <v>4</v>
      </c>
      <c r="Q143" s="88">
        <f t="shared" si="46"/>
        <v>19.384</v>
      </c>
      <c r="R143" s="88">
        <f t="shared" si="46"/>
        <v>11</v>
      </c>
      <c r="S143" s="87">
        <f t="shared" si="45"/>
        <v>0</v>
      </c>
      <c r="T143" s="87">
        <f t="shared" si="44"/>
        <v>0</v>
      </c>
      <c r="U143" s="87">
        <f>MAX(1,1+INT((I143-500)/500))</f>
        <v>1</v>
      </c>
    </row>
    <row r="144" spans="1:21" x14ac:dyDescent="0.2">
      <c r="A144" s="80" t="s">
        <v>257</v>
      </c>
      <c r="B144" s="80" t="s">
        <v>258</v>
      </c>
      <c r="C144" s="81">
        <v>0</v>
      </c>
      <c r="D144" s="81">
        <v>0</v>
      </c>
      <c r="E144" s="81">
        <v>0</v>
      </c>
      <c r="F144" s="81">
        <v>0</v>
      </c>
      <c r="G144" s="81">
        <v>0</v>
      </c>
      <c r="H144" s="81">
        <v>0</v>
      </c>
      <c r="I144" s="82">
        <v>0.11</v>
      </c>
      <c r="J144" s="82">
        <v>-0.11</v>
      </c>
      <c r="K144" s="82">
        <v>0.22</v>
      </c>
      <c r="L144" s="81">
        <v>0</v>
      </c>
      <c r="M144" s="81">
        <v>0</v>
      </c>
      <c r="N144" s="81">
        <f>ROUND(_xlfn.XLOOKUP(B144,'CTE Data'!A:A,'CTE Data'!B:B,0)*H144,0)</f>
        <v>0</v>
      </c>
      <c r="O144" s="76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">
      <c r="A145" s="80" t="s">
        <v>257</v>
      </c>
      <c r="B145" s="80" t="s">
        <v>260</v>
      </c>
      <c r="C145" s="81">
        <v>1</v>
      </c>
      <c r="D145" s="81">
        <v>43</v>
      </c>
      <c r="E145" s="81">
        <v>7</v>
      </c>
      <c r="F145" s="81">
        <v>11</v>
      </c>
      <c r="G145" s="81">
        <v>12</v>
      </c>
      <c r="H145" s="81">
        <v>74</v>
      </c>
      <c r="I145" s="82">
        <v>9.67</v>
      </c>
      <c r="J145" s="82">
        <v>-0.19</v>
      </c>
      <c r="K145" s="82">
        <v>0.37</v>
      </c>
      <c r="L145" s="81">
        <v>4</v>
      </c>
      <c r="M145" s="81">
        <v>0</v>
      </c>
      <c r="N145" s="81">
        <f>ROUND(_xlfn.XLOOKUP(B145,'CTE Data'!A:A,'CTE Data'!B:B,0)*H145,0)</f>
        <v>0</v>
      </c>
      <c r="O145" s="76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">
      <c r="A146" s="80" t="s">
        <v>257</v>
      </c>
      <c r="B146" s="80" t="s">
        <v>259</v>
      </c>
      <c r="C146" s="81">
        <v>0</v>
      </c>
      <c r="D146" s="81">
        <v>106</v>
      </c>
      <c r="E146" s="81">
        <v>11</v>
      </c>
      <c r="F146" s="81">
        <v>1</v>
      </c>
      <c r="G146" s="81">
        <v>0</v>
      </c>
      <c r="H146" s="81">
        <v>118</v>
      </c>
      <c r="I146" s="82">
        <f>6.78+0.23</f>
        <v>7.0100000000000007</v>
      </c>
      <c r="J146" s="82">
        <v>-0.24</v>
      </c>
      <c r="K146" s="82">
        <v>0.47</v>
      </c>
      <c r="L146" s="81">
        <v>0</v>
      </c>
      <c r="M146" s="81">
        <v>0</v>
      </c>
      <c r="N146" s="81">
        <f>ROUND(_xlfn.XLOOKUP(B146,'CTE Data'!A:A,'CTE Data'!B:B,0)*H146,0)</f>
        <v>13</v>
      </c>
      <c r="O146" s="76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">
      <c r="A147" s="80" t="s">
        <v>257</v>
      </c>
      <c r="B147" s="80" t="s">
        <v>262</v>
      </c>
      <c r="C147" s="81">
        <v>173</v>
      </c>
      <c r="D147" s="81">
        <v>70</v>
      </c>
      <c r="E147" s="81">
        <v>35</v>
      </c>
      <c r="F147" s="81">
        <v>6</v>
      </c>
      <c r="G147" s="81">
        <v>1</v>
      </c>
      <c r="H147" s="81">
        <v>285</v>
      </c>
      <c r="I147" s="82">
        <v>19.73</v>
      </c>
      <c r="J147" s="82">
        <v>0</v>
      </c>
      <c r="K147" s="82">
        <v>0</v>
      </c>
      <c r="L147" s="81">
        <v>0</v>
      </c>
      <c r="M147" s="81">
        <v>0</v>
      </c>
      <c r="N147" s="81">
        <f>ROUND(_xlfn.XLOOKUP(B147,'CTE Data'!A:A,'CTE Data'!B:B,0)*H147,0)</f>
        <v>0</v>
      </c>
      <c r="O147" s="76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85" customFormat="1" x14ac:dyDescent="0.2">
      <c r="A148" s="85" t="s">
        <v>257</v>
      </c>
      <c r="B148" s="85" t="s">
        <v>261</v>
      </c>
      <c r="C148" s="86">
        <v>174</v>
      </c>
      <c r="D148" s="86">
        <v>219</v>
      </c>
      <c r="E148" s="86">
        <v>53</v>
      </c>
      <c r="F148" s="86">
        <v>18</v>
      </c>
      <c r="G148" s="86">
        <v>13</v>
      </c>
      <c r="H148" s="86">
        <v>477</v>
      </c>
      <c r="I148" s="88">
        <f>SUM(I144:I147)</f>
        <v>36.519999999999996</v>
      </c>
      <c r="J148" s="88">
        <f t="shared" ref="J148:K148" si="47">SUM(J144:J147)</f>
        <v>-0.54</v>
      </c>
      <c r="K148" s="88">
        <f t="shared" si="47"/>
        <v>1.06</v>
      </c>
      <c r="L148" s="86">
        <v>4</v>
      </c>
      <c r="M148" s="86">
        <v>0</v>
      </c>
      <c r="N148" s="86">
        <f>SUM(N144:N147)</f>
        <v>13</v>
      </c>
      <c r="O148" s="88">
        <f>SUM(O144:O147)</f>
        <v>1</v>
      </c>
      <c r="P148" s="88">
        <f t="shared" ref="P148:R148" si="48">SUM(P144:P147)</f>
        <v>0</v>
      </c>
      <c r="Q148" s="88">
        <f t="shared" si="48"/>
        <v>7.3040000000000003</v>
      </c>
      <c r="R148" s="88">
        <f t="shared" si="48"/>
        <v>3</v>
      </c>
      <c r="S148" s="87">
        <f t="shared" si="45"/>
        <v>0</v>
      </c>
      <c r="T148" s="87">
        <f t="shared" si="44"/>
        <v>0</v>
      </c>
      <c r="U148" s="87">
        <v>0</v>
      </c>
    </row>
    <row r="149" spans="1:21" s="85" customFormat="1" x14ac:dyDescent="0.2">
      <c r="A149" s="85" t="s">
        <v>387</v>
      </c>
      <c r="B149" s="85" t="s">
        <v>387</v>
      </c>
      <c r="C149" s="86">
        <v>0</v>
      </c>
      <c r="D149" s="86">
        <v>536</v>
      </c>
      <c r="E149" s="85">
        <v>51</v>
      </c>
      <c r="F149" s="86">
        <v>5</v>
      </c>
      <c r="G149" s="86">
        <v>5</v>
      </c>
      <c r="H149" s="86">
        <v>597</v>
      </c>
      <c r="I149" s="87">
        <v>35.619999999999997</v>
      </c>
      <c r="J149" s="87">
        <v>0</v>
      </c>
      <c r="K149" s="87">
        <v>0</v>
      </c>
      <c r="L149" s="86">
        <v>187</v>
      </c>
      <c r="M149" s="86">
        <v>17</v>
      </c>
      <c r="N149" s="86">
        <v>104</v>
      </c>
      <c r="O149" s="88">
        <v>1</v>
      </c>
      <c r="P149" s="87">
        <f>ROUNDDOWN(IF(I149+Q149+R149&lt;15,0,IF(I149+Q149+R149&lt;25,0,IF(I149+Q149+R149&lt;30,0.65,IF(I149+Q149+R149&lt;50,1,IF(I149+Q149+R149&lt;55,1.65,2+(I149+Q149+R149-55)/20))))),0)</f>
        <v>1</v>
      </c>
      <c r="Q149" s="87">
        <f>I149*0.2</f>
        <v>7.1239999999999997</v>
      </c>
      <c r="R149" s="87">
        <f>ROUNDDOWN(IF(I149+O149+Q149&lt;100,INT((I149+O149+Q149)/10),10+INT(((I149+O149+Q149)-100)/12)),0)</f>
        <v>4</v>
      </c>
      <c r="S149" s="87">
        <f t="shared" si="45"/>
        <v>0</v>
      </c>
      <c r="T149" s="87">
        <f t="shared" si="44"/>
        <v>0</v>
      </c>
      <c r="U149" s="87">
        <v>1</v>
      </c>
    </row>
    <row r="150" spans="1:21" x14ac:dyDescent="0.2">
      <c r="A150" s="80" t="s">
        <v>388</v>
      </c>
      <c r="B150" s="80" t="s">
        <v>389</v>
      </c>
      <c r="C150" s="81">
        <v>169</v>
      </c>
      <c r="D150" s="81">
        <v>79</v>
      </c>
      <c r="E150" s="80">
        <v>36</v>
      </c>
      <c r="F150" s="81">
        <v>15</v>
      </c>
      <c r="G150" s="81">
        <v>6</v>
      </c>
      <c r="H150" s="81">
        <v>305</v>
      </c>
      <c r="I150" s="83">
        <v>23.47</v>
      </c>
      <c r="J150" s="83">
        <v>0</v>
      </c>
      <c r="K150" s="83">
        <v>0</v>
      </c>
      <c r="L150" s="81">
        <v>215</v>
      </c>
      <c r="M150" s="81">
        <v>3</v>
      </c>
      <c r="N150" s="81">
        <v>0</v>
      </c>
      <c r="O150" s="76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">
      <c r="A151" s="80" t="s">
        <v>388</v>
      </c>
      <c r="B151" s="80" t="s">
        <v>390</v>
      </c>
      <c r="C151" s="81">
        <v>0</v>
      </c>
      <c r="D151" s="81">
        <v>124</v>
      </c>
      <c r="E151" s="80">
        <v>25</v>
      </c>
      <c r="F151" s="81">
        <v>5</v>
      </c>
      <c r="G151" s="81">
        <v>1</v>
      </c>
      <c r="H151" s="81">
        <v>155</v>
      </c>
      <c r="I151" s="83">
        <v>10.39</v>
      </c>
      <c r="J151" s="83">
        <v>0</v>
      </c>
      <c r="K151" s="83">
        <v>0</v>
      </c>
      <c r="L151" s="81">
        <v>114</v>
      </c>
      <c r="M151" s="81">
        <v>1</v>
      </c>
      <c r="N151" s="81">
        <v>0</v>
      </c>
      <c r="O151" s="76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85" customFormat="1" x14ac:dyDescent="0.2">
      <c r="A152" s="85" t="s">
        <v>388</v>
      </c>
      <c r="B152" s="85" t="s">
        <v>388</v>
      </c>
      <c r="C152" s="86">
        <v>169</v>
      </c>
      <c r="D152" s="86">
        <v>203</v>
      </c>
      <c r="E152" s="85">
        <v>61</v>
      </c>
      <c r="F152" s="86">
        <v>20</v>
      </c>
      <c r="G152" s="86">
        <v>7</v>
      </c>
      <c r="H152" s="86">
        <v>460</v>
      </c>
      <c r="I152" s="87">
        <v>33.86</v>
      </c>
      <c r="J152" s="87">
        <v>0</v>
      </c>
      <c r="K152" s="87">
        <v>0</v>
      </c>
      <c r="L152" s="86">
        <v>329</v>
      </c>
      <c r="M152" s="86">
        <v>4</v>
      </c>
      <c r="N152" s="86">
        <f>ROUND(_xlfn.XLOOKUP(B152,'CTE Data'!A:A,'CTE Data'!B:B,0)*H152,0)</f>
        <v>0</v>
      </c>
      <c r="O152" s="88">
        <f>SUM(O150:O151)</f>
        <v>2</v>
      </c>
      <c r="P152" s="88">
        <f t="shared" ref="P152" si="49">SUM(P150:P151)</f>
        <v>1</v>
      </c>
      <c r="Q152" s="88">
        <f t="shared" ref="Q152" si="50">SUM(Q150:Q151)</f>
        <v>6.7720000000000002</v>
      </c>
      <c r="R152" s="88">
        <f t="shared" ref="R152" si="51">SUM(R150:R151)</f>
        <v>3</v>
      </c>
      <c r="S152" s="87">
        <f t="shared" si="45"/>
        <v>0</v>
      </c>
      <c r="T152" s="87">
        <f t="shared" si="44"/>
        <v>0</v>
      </c>
      <c r="U152" s="87">
        <f>MAX(1,1+INT((I152-500)/500))</f>
        <v>1</v>
      </c>
    </row>
    <row r="153" spans="1:21" x14ac:dyDescent="0.2">
      <c r="A153" s="80" t="s">
        <v>391</v>
      </c>
      <c r="B153" s="80" t="s">
        <v>392</v>
      </c>
      <c r="C153" s="81">
        <v>208</v>
      </c>
      <c r="D153" s="81">
        <v>0</v>
      </c>
      <c r="E153" s="80">
        <v>9</v>
      </c>
      <c r="F153" s="81">
        <v>13</v>
      </c>
      <c r="G153" s="81">
        <v>7</v>
      </c>
      <c r="H153" s="81">
        <v>237</v>
      </c>
      <c r="I153" s="83">
        <v>18.77</v>
      </c>
      <c r="J153" s="83">
        <v>0</v>
      </c>
      <c r="K153" s="83">
        <v>0</v>
      </c>
      <c r="L153" s="81">
        <v>198</v>
      </c>
      <c r="M153" s="81">
        <v>1</v>
      </c>
      <c r="N153" s="81">
        <v>0</v>
      </c>
      <c r="O153" s="76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">
      <c r="A154" s="80" t="s">
        <v>391</v>
      </c>
      <c r="B154" s="80" t="s">
        <v>393</v>
      </c>
      <c r="C154" s="81">
        <v>0</v>
      </c>
      <c r="D154" s="81">
        <v>104</v>
      </c>
      <c r="E154" s="80">
        <v>11</v>
      </c>
      <c r="F154" s="81">
        <v>4</v>
      </c>
      <c r="G154" s="81">
        <v>4</v>
      </c>
      <c r="H154" s="81">
        <v>123</v>
      </c>
      <c r="I154" s="83">
        <v>8.7200000000000006</v>
      </c>
      <c r="J154" s="83">
        <v>0</v>
      </c>
      <c r="K154" s="83">
        <v>0</v>
      </c>
      <c r="L154" s="81">
        <v>101</v>
      </c>
      <c r="M154" s="81">
        <v>0</v>
      </c>
      <c r="N154" s="81">
        <v>0</v>
      </c>
      <c r="O154" s="76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">
      <c r="A155" s="80" t="s">
        <v>391</v>
      </c>
      <c r="B155" s="80" t="s">
        <v>394</v>
      </c>
      <c r="C155" s="81">
        <v>0</v>
      </c>
      <c r="D155" s="81">
        <v>141</v>
      </c>
      <c r="E155" s="80">
        <v>24</v>
      </c>
      <c r="F155" s="81">
        <v>8</v>
      </c>
      <c r="G155" s="81">
        <v>5</v>
      </c>
      <c r="H155" s="81">
        <v>178</v>
      </c>
      <c r="I155" s="83">
        <v>13.16</v>
      </c>
      <c r="J155" s="83">
        <v>0</v>
      </c>
      <c r="K155" s="83">
        <v>0</v>
      </c>
      <c r="L155" s="81">
        <v>122</v>
      </c>
      <c r="M155" s="81">
        <v>0</v>
      </c>
      <c r="N155" s="81">
        <v>0</v>
      </c>
      <c r="O155" s="76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85" customFormat="1" x14ac:dyDescent="0.2">
      <c r="A156" s="85" t="s">
        <v>391</v>
      </c>
      <c r="B156" s="85" t="s">
        <v>391</v>
      </c>
      <c r="C156" s="86">
        <v>208</v>
      </c>
      <c r="D156" s="86">
        <v>245</v>
      </c>
      <c r="E156" s="85">
        <v>44</v>
      </c>
      <c r="F156" s="86">
        <v>25</v>
      </c>
      <c r="G156" s="86">
        <v>16</v>
      </c>
      <c r="H156" s="86">
        <v>538</v>
      </c>
      <c r="I156" s="87">
        <v>40.65</v>
      </c>
      <c r="J156" s="87">
        <v>0</v>
      </c>
      <c r="K156" s="87">
        <v>0</v>
      </c>
      <c r="L156" s="86">
        <v>421</v>
      </c>
      <c r="M156" s="86">
        <v>1</v>
      </c>
      <c r="N156" s="86">
        <f>ROUND(_xlfn.XLOOKUP(B156,'CTE Data'!A:A,'CTE Data'!B:B,0)*H156,0)</f>
        <v>0</v>
      </c>
      <c r="O156" s="88">
        <f>SUM(O153:O155)</f>
        <v>3</v>
      </c>
      <c r="P156" s="88">
        <f>SUM(P153:P155)</f>
        <v>0</v>
      </c>
      <c r="Q156" s="88">
        <f>SUM(Q153:Q155)</f>
        <v>8.1300000000000008</v>
      </c>
      <c r="R156" s="88">
        <f>SUM(R153:R155)</f>
        <v>4</v>
      </c>
      <c r="S156" s="87">
        <f t="shared" si="45"/>
        <v>0</v>
      </c>
      <c r="T156" s="87">
        <f t="shared" si="44"/>
        <v>0</v>
      </c>
      <c r="U156" s="87">
        <f>MAX(1,1+INT((I156-500)/500))</f>
        <v>1</v>
      </c>
    </row>
    <row r="157" spans="1:21" s="85" customFormat="1" x14ac:dyDescent="0.2">
      <c r="A157" s="85" t="s">
        <v>395</v>
      </c>
      <c r="B157" s="85" t="s">
        <v>395</v>
      </c>
      <c r="C157" s="86">
        <v>0</v>
      </c>
      <c r="D157" s="86">
        <v>340</v>
      </c>
      <c r="E157" s="85">
        <v>58</v>
      </c>
      <c r="F157" s="86">
        <v>19</v>
      </c>
      <c r="G157" s="86">
        <v>7</v>
      </c>
      <c r="H157" s="86">
        <v>424</v>
      </c>
      <c r="I157" s="87">
        <v>29.76</v>
      </c>
      <c r="J157" s="87">
        <v>0</v>
      </c>
      <c r="K157" s="87">
        <v>0</v>
      </c>
      <c r="L157" s="86">
        <v>65</v>
      </c>
      <c r="M157" s="86">
        <v>27</v>
      </c>
      <c r="N157" s="86">
        <f>ROUND(_xlfn.XLOOKUP(B157,'CTE Data'!A:A,'CTE Data'!B:B,0)*H157,0)</f>
        <v>0</v>
      </c>
      <c r="O157" s="88">
        <v>1</v>
      </c>
      <c r="P157" s="87">
        <f>ROUNDDOWN(IF(I157+Q157+R157&lt;15,0,IF(I157+Q157+R157&lt;25,0,IF(I157+Q157+R157&lt;30,0.65,IF(I157+Q157+R157&lt;50,1,IF(I157+Q157+R157&lt;55,1.65,2+(I157+Q157+R157-55)/20))))),0)</f>
        <v>1</v>
      </c>
      <c r="Q157" s="87">
        <f>I157*0.2</f>
        <v>5.9520000000000008</v>
      </c>
      <c r="R157" s="87">
        <f>ROUNDDOWN(IF(I157+O157+Q157&lt;100,INT((I157+O157+Q157)/10),10+INT(((I157+O157+Q157)-100)/12)),0)</f>
        <v>3</v>
      </c>
      <c r="S157" s="87">
        <f t="shared" si="45"/>
        <v>0</v>
      </c>
      <c r="T157" s="87">
        <f t="shared" si="44"/>
        <v>0</v>
      </c>
      <c r="U157" s="87">
        <v>1</v>
      </c>
    </row>
    <row r="158" spans="1:21" x14ac:dyDescent="0.2">
      <c r="A158" s="80" t="s">
        <v>396</v>
      </c>
      <c r="B158" s="80" t="s">
        <v>397</v>
      </c>
      <c r="C158" s="81">
        <v>273</v>
      </c>
      <c r="D158" s="81">
        <v>185</v>
      </c>
      <c r="E158" s="80">
        <v>37</v>
      </c>
      <c r="F158" s="81">
        <v>22</v>
      </c>
      <c r="G158" s="81">
        <v>3</v>
      </c>
      <c r="H158" s="81">
        <v>520</v>
      </c>
      <c r="I158" s="83">
        <v>35.33</v>
      </c>
      <c r="J158" s="83">
        <v>0</v>
      </c>
      <c r="K158" s="83">
        <v>0</v>
      </c>
      <c r="L158" s="81">
        <v>50</v>
      </c>
      <c r="M158" s="81">
        <v>2</v>
      </c>
      <c r="N158" s="81">
        <v>0</v>
      </c>
      <c r="O158" s="76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">
      <c r="A159" s="80" t="s">
        <v>396</v>
      </c>
      <c r="B159" s="80" t="s">
        <v>398</v>
      </c>
      <c r="C159" s="81">
        <v>0</v>
      </c>
      <c r="D159" s="81">
        <v>100</v>
      </c>
      <c r="E159" s="80">
        <v>19</v>
      </c>
      <c r="F159" s="81">
        <v>7</v>
      </c>
      <c r="G159" s="81">
        <v>2</v>
      </c>
      <c r="H159" s="81">
        <v>128</v>
      </c>
      <c r="I159" s="83">
        <v>9.19</v>
      </c>
      <c r="J159" s="83">
        <v>0</v>
      </c>
      <c r="K159" s="83">
        <v>0</v>
      </c>
      <c r="L159" s="81">
        <v>14</v>
      </c>
      <c r="M159" s="81">
        <v>0</v>
      </c>
      <c r="N159" s="81">
        <v>0</v>
      </c>
      <c r="O159" s="76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85" customFormat="1" x14ac:dyDescent="0.2">
      <c r="A160" s="85" t="s">
        <v>396</v>
      </c>
      <c r="B160" s="85" t="s">
        <v>396</v>
      </c>
      <c r="C160" s="86">
        <v>273</v>
      </c>
      <c r="D160" s="86">
        <v>285</v>
      </c>
      <c r="E160" s="85">
        <v>56</v>
      </c>
      <c r="F160" s="86">
        <v>29</v>
      </c>
      <c r="G160" s="86">
        <v>5</v>
      </c>
      <c r="H160" s="86">
        <v>648</v>
      </c>
      <c r="I160" s="87">
        <v>44.52</v>
      </c>
      <c r="J160" s="87">
        <v>0</v>
      </c>
      <c r="K160" s="87">
        <v>0</v>
      </c>
      <c r="L160" s="86">
        <v>64</v>
      </c>
      <c r="M160" s="86">
        <v>2</v>
      </c>
      <c r="N160" s="86">
        <f>ROUND(_xlfn.XLOOKUP(B160,'CTE Data'!A:A,'CTE Data'!B:B,0)*H160,0)</f>
        <v>0</v>
      </c>
      <c r="O160" s="88">
        <f>SUM(O158:O159)</f>
        <v>2</v>
      </c>
      <c r="P160" s="88">
        <f t="shared" ref="P160" si="52">SUM(P158:P159)</f>
        <v>1</v>
      </c>
      <c r="Q160" s="88">
        <f t="shared" ref="Q160" si="53">SUM(Q158:Q159)</f>
        <v>8.9039999999999999</v>
      </c>
      <c r="R160" s="88">
        <f t="shared" ref="R160" si="54">SUM(R158:R159)</f>
        <v>5</v>
      </c>
      <c r="S160" s="87">
        <f t="shared" si="45"/>
        <v>0</v>
      </c>
      <c r="T160" s="87">
        <f t="shared" si="44"/>
        <v>0</v>
      </c>
      <c r="U160" s="87">
        <f>MAX(1,1+INT((I160-500)/500))</f>
        <v>1</v>
      </c>
    </row>
    <row r="161" spans="1:21" s="85" customFormat="1" x14ac:dyDescent="0.2">
      <c r="A161" s="85" t="s">
        <v>399</v>
      </c>
      <c r="B161" s="85" t="s">
        <v>399</v>
      </c>
      <c r="C161" s="86">
        <v>0</v>
      </c>
      <c r="D161" s="86">
        <v>257</v>
      </c>
      <c r="E161" s="85">
        <v>68</v>
      </c>
      <c r="F161" s="86">
        <v>37</v>
      </c>
      <c r="G161" s="86">
        <v>8</v>
      </c>
      <c r="H161" s="86">
        <v>370</v>
      </c>
      <c r="I161" s="87">
        <v>30.2</v>
      </c>
      <c r="J161" s="87">
        <v>0</v>
      </c>
      <c r="K161" s="87">
        <v>0</v>
      </c>
      <c r="L161" s="86">
        <v>179</v>
      </c>
      <c r="M161" s="86">
        <v>19</v>
      </c>
      <c r="N161" s="86">
        <f>ROUND(_xlfn.XLOOKUP(B161,'CTE Data'!A:A,'CTE Data'!B:B,0)*H161,0)</f>
        <v>0</v>
      </c>
      <c r="O161" s="88">
        <v>1</v>
      </c>
      <c r="P161" s="87">
        <f>ROUNDDOWN(IF(I161+Q161+R161&lt;15,0,IF(I161+Q161+R161&lt;25,0,IF(I161+Q161+R161&lt;30,0.65,IF(I161+Q161+R161&lt;50,1,IF(I161+Q161+R161&lt;55,1.65,2+(I161+Q161+R161-55)/20))))),0)</f>
        <v>1</v>
      </c>
      <c r="Q161" s="87">
        <f>I161*0.2</f>
        <v>6.04</v>
      </c>
      <c r="R161" s="87">
        <f>ROUNDDOWN(IF(I161+O161+Q161&lt;100,INT((I161+O161+Q161)/10),10+INT(((I161+O161+Q161)-100)/12)),0)</f>
        <v>3</v>
      </c>
      <c r="S161" s="87">
        <f t="shared" si="45"/>
        <v>0</v>
      </c>
      <c r="T161" s="87">
        <f t="shared" ref="T161:T192" si="55">IF((I161+O161+P161+Q161+R161)&lt;200,0,MIN(6,1+QUOTIENT((I161+O161+P161+Q161+R161)-200,100)))</f>
        <v>0</v>
      </c>
      <c r="U161" s="87">
        <v>1</v>
      </c>
    </row>
    <row r="162" spans="1:21" x14ac:dyDescent="0.2">
      <c r="A162" s="80" t="s">
        <v>400</v>
      </c>
      <c r="B162" s="80" t="s">
        <v>401</v>
      </c>
      <c r="C162" s="81">
        <v>66</v>
      </c>
      <c r="D162" s="81">
        <v>18</v>
      </c>
      <c r="E162" s="80">
        <v>20</v>
      </c>
      <c r="F162" s="81">
        <v>14</v>
      </c>
      <c r="G162" s="81">
        <v>6</v>
      </c>
      <c r="H162" s="81">
        <v>124</v>
      </c>
      <c r="I162" s="83">
        <v>11.99</v>
      </c>
      <c r="J162" s="83">
        <v>0</v>
      </c>
      <c r="K162" s="83">
        <v>0</v>
      </c>
      <c r="L162" s="81">
        <v>53</v>
      </c>
      <c r="M162" s="81">
        <v>3</v>
      </c>
      <c r="N162" s="81">
        <v>0</v>
      </c>
      <c r="O162" s="76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">
      <c r="A163" s="80" t="s">
        <v>400</v>
      </c>
      <c r="B163" s="80" t="s">
        <v>402</v>
      </c>
      <c r="C163" s="81">
        <v>0</v>
      </c>
      <c r="D163" s="81">
        <v>41</v>
      </c>
      <c r="E163" s="80">
        <v>29</v>
      </c>
      <c r="F163" s="81">
        <v>12</v>
      </c>
      <c r="G163" s="81">
        <v>5</v>
      </c>
      <c r="H163" s="81">
        <v>87</v>
      </c>
      <c r="I163" s="83">
        <v>9.42</v>
      </c>
      <c r="J163" s="83">
        <v>0</v>
      </c>
      <c r="K163" s="83">
        <v>0</v>
      </c>
      <c r="L163" s="81">
        <v>48</v>
      </c>
      <c r="M163" s="81">
        <v>1</v>
      </c>
      <c r="N163" s="81">
        <v>0</v>
      </c>
      <c r="O163" s="76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85" customFormat="1" x14ac:dyDescent="0.2">
      <c r="A164" s="85" t="s">
        <v>400</v>
      </c>
      <c r="B164" s="85" t="s">
        <v>400</v>
      </c>
      <c r="C164" s="86">
        <v>66</v>
      </c>
      <c r="D164" s="86">
        <v>59</v>
      </c>
      <c r="E164" s="85">
        <v>49</v>
      </c>
      <c r="F164" s="86">
        <v>26</v>
      </c>
      <c r="G164" s="86">
        <v>11</v>
      </c>
      <c r="H164" s="86">
        <v>211</v>
      </c>
      <c r="I164" s="87">
        <v>21.41</v>
      </c>
      <c r="J164" s="87">
        <v>0</v>
      </c>
      <c r="K164" s="87">
        <v>0</v>
      </c>
      <c r="L164" s="86">
        <v>101</v>
      </c>
      <c r="M164" s="86">
        <v>4</v>
      </c>
      <c r="N164" s="86">
        <f>ROUND(_xlfn.XLOOKUP(B164,'CTE Data'!A:A,'CTE Data'!B:B,0)*H164,0)</f>
        <v>0</v>
      </c>
      <c r="O164" s="88">
        <f>SUM(O162:O163)</f>
        <v>2</v>
      </c>
      <c r="P164" s="88">
        <f t="shared" ref="P164" si="56">SUM(P162:P163)</f>
        <v>0</v>
      </c>
      <c r="Q164" s="88">
        <f t="shared" ref="Q164" si="57">SUM(Q162:Q163)</f>
        <v>4.282</v>
      </c>
      <c r="R164" s="88">
        <f t="shared" ref="R164" si="58">SUM(R162:R163)</f>
        <v>2</v>
      </c>
      <c r="S164" s="87">
        <f t="shared" si="45"/>
        <v>0</v>
      </c>
      <c r="T164" s="87">
        <f t="shared" si="55"/>
        <v>0</v>
      </c>
      <c r="U164" s="87">
        <f>MAX(1,1+INT((I164-500)/500))</f>
        <v>1</v>
      </c>
    </row>
    <row r="165" spans="1:21" s="85" customFormat="1" x14ac:dyDescent="0.2">
      <c r="A165" s="85" t="s">
        <v>403</v>
      </c>
      <c r="B165" s="85" t="s">
        <v>403</v>
      </c>
      <c r="C165" s="86">
        <v>0</v>
      </c>
      <c r="D165" s="86">
        <v>80</v>
      </c>
      <c r="E165" s="85">
        <v>23</v>
      </c>
      <c r="F165" s="86">
        <v>29</v>
      </c>
      <c r="G165" s="86">
        <v>9</v>
      </c>
      <c r="H165" s="86">
        <v>141</v>
      </c>
      <c r="I165" s="87">
        <v>15.03</v>
      </c>
      <c r="J165" s="87">
        <v>0</v>
      </c>
      <c r="K165" s="87">
        <v>0</v>
      </c>
      <c r="L165" s="86">
        <v>87</v>
      </c>
      <c r="M165" s="86">
        <v>5</v>
      </c>
      <c r="N165" s="86">
        <v>23</v>
      </c>
      <c r="O165" s="88">
        <v>1</v>
      </c>
      <c r="P165" s="87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87">
        <f t="shared" ref="Q165:Q180" si="60">I165*0.2</f>
        <v>3.0060000000000002</v>
      </c>
      <c r="R165" s="87">
        <f t="shared" ref="R165:R180" si="61">ROUNDDOWN(IF(I165+O165+Q165&lt;100,INT((I165+O165+Q165)/10),10+INT(((I165+O165+Q165)-100)/12)),0)</f>
        <v>1</v>
      </c>
      <c r="S165" s="87">
        <f t="shared" si="45"/>
        <v>0</v>
      </c>
      <c r="T165" s="87">
        <f t="shared" si="55"/>
        <v>0</v>
      </c>
      <c r="U165" s="87">
        <v>1</v>
      </c>
    </row>
    <row r="166" spans="1:21" x14ac:dyDescent="0.2">
      <c r="A166" s="80" t="s">
        <v>263</v>
      </c>
      <c r="B166" s="80" t="s">
        <v>264</v>
      </c>
      <c r="C166" s="81">
        <v>253</v>
      </c>
      <c r="D166" s="81">
        <v>117</v>
      </c>
      <c r="E166" s="81">
        <v>40</v>
      </c>
      <c r="F166" s="81">
        <v>17</v>
      </c>
      <c r="G166" s="81">
        <v>13</v>
      </c>
      <c r="H166" s="81">
        <v>440</v>
      </c>
      <c r="I166" s="82">
        <v>34.06</v>
      </c>
      <c r="J166" s="82">
        <v>0</v>
      </c>
      <c r="K166" s="82">
        <v>0</v>
      </c>
      <c r="L166" s="81">
        <v>115</v>
      </c>
      <c r="M166" s="81">
        <v>138</v>
      </c>
      <c r="N166" s="81">
        <f>ROUND(_xlfn.XLOOKUP(B166,'CTE Data'!A:A,'CTE Data'!B:B,0)*H166,0)</f>
        <v>0</v>
      </c>
      <c r="O166" s="76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">
      <c r="A167" s="80" t="s">
        <v>263</v>
      </c>
      <c r="B167" s="80" t="s">
        <v>265</v>
      </c>
      <c r="C167" s="81">
        <v>435</v>
      </c>
      <c r="D167" s="81">
        <v>257</v>
      </c>
      <c r="E167" s="81">
        <v>53</v>
      </c>
      <c r="F167" s="81">
        <v>18</v>
      </c>
      <c r="G167" s="81">
        <v>12</v>
      </c>
      <c r="H167" s="81">
        <v>775</v>
      </c>
      <c r="I167" s="82">
        <v>53.63</v>
      </c>
      <c r="J167" s="82">
        <v>0</v>
      </c>
      <c r="K167" s="82">
        <v>0</v>
      </c>
      <c r="L167" s="81">
        <v>233</v>
      </c>
      <c r="M167" s="81">
        <v>134</v>
      </c>
      <c r="N167" s="81">
        <f>ROUND(_xlfn.XLOOKUP(B167,'CTE Data'!A:A,'CTE Data'!B:B,0)*H167,0)</f>
        <v>0</v>
      </c>
      <c r="O167" s="76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">
      <c r="A168" s="80" t="s">
        <v>263</v>
      </c>
      <c r="B168" s="80" t="s">
        <v>266</v>
      </c>
      <c r="C168" s="81">
        <v>0</v>
      </c>
      <c r="D168" s="81">
        <v>0</v>
      </c>
      <c r="E168" s="81">
        <v>48</v>
      </c>
      <c r="F168" s="81">
        <v>9</v>
      </c>
      <c r="G168" s="81">
        <v>282</v>
      </c>
      <c r="H168" s="81">
        <v>339</v>
      </c>
      <c r="I168" s="82">
        <v>115.78</v>
      </c>
      <c r="J168" s="82">
        <v>-0.12</v>
      </c>
      <c r="K168" s="82">
        <v>0.23</v>
      </c>
      <c r="L168" s="81">
        <v>96</v>
      </c>
      <c r="M168" s="81">
        <v>28</v>
      </c>
      <c r="N168" s="81">
        <f>ROUND(_xlfn.XLOOKUP(B168,'CTE Data'!A:A,'CTE Data'!B:B,0)*H168,0)</f>
        <v>155</v>
      </c>
      <c r="O168" s="76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">
      <c r="A169" s="80" t="s">
        <v>263</v>
      </c>
      <c r="B169" s="80" t="s">
        <v>267</v>
      </c>
      <c r="C169" s="81">
        <v>482</v>
      </c>
      <c r="D169" s="81">
        <v>231</v>
      </c>
      <c r="E169" s="81">
        <v>69</v>
      </c>
      <c r="F169" s="81">
        <v>39</v>
      </c>
      <c r="G169" s="81">
        <v>33</v>
      </c>
      <c r="H169" s="81">
        <v>854</v>
      </c>
      <c r="I169" s="82">
        <v>68.7</v>
      </c>
      <c r="J169" s="82">
        <v>0</v>
      </c>
      <c r="K169" s="82">
        <v>0</v>
      </c>
      <c r="L169" s="81">
        <v>251</v>
      </c>
      <c r="M169" s="81">
        <v>410</v>
      </c>
      <c r="N169" s="81">
        <f>ROUND(_xlfn.XLOOKUP(B169,'CTE Data'!A:A,'CTE Data'!B:B,0)*H169,0)</f>
        <v>0</v>
      </c>
      <c r="O169" s="76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">
      <c r="A170" s="80" t="s">
        <v>263</v>
      </c>
      <c r="B170" s="80" t="s">
        <v>268</v>
      </c>
      <c r="C170" s="81">
        <v>0</v>
      </c>
      <c r="D170" s="81">
        <v>699</v>
      </c>
      <c r="E170" s="81">
        <v>61</v>
      </c>
      <c r="F170" s="81">
        <v>76</v>
      </c>
      <c r="G170" s="81">
        <v>10</v>
      </c>
      <c r="H170" s="81">
        <v>846</v>
      </c>
      <c r="I170" s="82">
        <v>60.41</v>
      </c>
      <c r="J170" s="82">
        <v>-1.68</v>
      </c>
      <c r="K170" s="82">
        <v>3.36</v>
      </c>
      <c r="L170" s="81">
        <v>202</v>
      </c>
      <c r="M170" s="81">
        <v>285</v>
      </c>
      <c r="N170" s="81">
        <f>ROUND(_xlfn.XLOOKUP(B170,'CTE Data'!A:A,'CTE Data'!B:B,0)*H170,0)</f>
        <v>73</v>
      </c>
      <c r="O170" s="76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">
      <c r="A171" s="80" t="s">
        <v>263</v>
      </c>
      <c r="B171" s="80" t="s">
        <v>269</v>
      </c>
      <c r="C171" s="81">
        <v>0</v>
      </c>
      <c r="D171" s="81">
        <v>850</v>
      </c>
      <c r="E171" s="81">
        <v>125</v>
      </c>
      <c r="F171" s="81">
        <v>66</v>
      </c>
      <c r="G171" s="81">
        <v>18</v>
      </c>
      <c r="H171" s="81">
        <v>1059</v>
      </c>
      <c r="I171" s="82">
        <v>81.58</v>
      </c>
      <c r="J171" s="82">
        <v>-6.29</v>
      </c>
      <c r="K171" s="82">
        <v>12.57</v>
      </c>
      <c r="L171" s="81">
        <v>146</v>
      </c>
      <c r="M171" s="81">
        <v>115</v>
      </c>
      <c r="N171" s="81">
        <f>ROUND(_xlfn.XLOOKUP(B171,'CTE Data'!A:A,'CTE Data'!B:B,0)*H171,0)</f>
        <v>174</v>
      </c>
      <c r="O171" s="76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">
      <c r="A172" s="80" t="s">
        <v>263</v>
      </c>
      <c r="B172" s="80" t="s">
        <v>270</v>
      </c>
      <c r="C172" s="81">
        <v>7</v>
      </c>
      <c r="D172" s="81">
        <v>2</v>
      </c>
      <c r="E172" s="81">
        <v>64</v>
      </c>
      <c r="F172" s="81">
        <v>13</v>
      </c>
      <c r="G172" s="81">
        <v>23</v>
      </c>
      <c r="H172" s="81">
        <v>109</v>
      </c>
      <c r="I172" s="82">
        <v>19.170000000000002</v>
      </c>
      <c r="J172" s="82">
        <v>0</v>
      </c>
      <c r="K172" s="82">
        <v>0</v>
      </c>
      <c r="L172" s="81">
        <v>32</v>
      </c>
      <c r="M172" s="81">
        <v>0</v>
      </c>
      <c r="N172" s="81">
        <f>ROUND(_xlfn.XLOOKUP(B172,'CTE Data'!A:A,'CTE Data'!B:B,0)*H172,0)</f>
        <v>0</v>
      </c>
      <c r="O172" s="76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">
      <c r="A173" s="80" t="s">
        <v>263</v>
      </c>
      <c r="B173" s="80" t="s">
        <v>271</v>
      </c>
      <c r="C173" s="81">
        <v>414</v>
      </c>
      <c r="D173" s="81">
        <v>214</v>
      </c>
      <c r="E173" s="81">
        <v>26</v>
      </c>
      <c r="F173" s="81">
        <v>36</v>
      </c>
      <c r="G173" s="81">
        <v>8</v>
      </c>
      <c r="H173" s="81">
        <v>698</v>
      </c>
      <c r="I173" s="82">
        <v>48.44</v>
      </c>
      <c r="J173" s="82">
        <v>0</v>
      </c>
      <c r="K173" s="82">
        <v>0</v>
      </c>
      <c r="L173" s="81">
        <v>228</v>
      </c>
      <c r="M173" s="81">
        <v>181</v>
      </c>
      <c r="N173" s="81">
        <f>ROUND(_xlfn.XLOOKUP(B173,'CTE Data'!A:A,'CTE Data'!B:B,0)*H173,0)</f>
        <v>0</v>
      </c>
      <c r="O173" s="76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">
      <c r="A174" s="80" t="s">
        <v>263</v>
      </c>
      <c r="B174" s="80" t="s">
        <v>272</v>
      </c>
      <c r="C174" s="81">
        <v>311</v>
      </c>
      <c r="D174" s="81">
        <v>177</v>
      </c>
      <c r="E174" s="81">
        <v>36</v>
      </c>
      <c r="F174" s="81">
        <v>29</v>
      </c>
      <c r="G174" s="81">
        <v>6</v>
      </c>
      <c r="H174" s="81">
        <v>559</v>
      </c>
      <c r="I174" s="82">
        <v>39.479999999999997</v>
      </c>
      <c r="J174" s="82">
        <v>0</v>
      </c>
      <c r="K174" s="82">
        <v>0</v>
      </c>
      <c r="L174" s="81">
        <v>77</v>
      </c>
      <c r="M174" s="81">
        <v>29</v>
      </c>
      <c r="N174" s="81">
        <f>ROUND(_xlfn.XLOOKUP(B174,'CTE Data'!A:A,'CTE Data'!B:B,0)*H174,0)</f>
        <v>0</v>
      </c>
      <c r="O174" s="76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">
      <c r="A175" s="80" t="s">
        <v>263</v>
      </c>
      <c r="B175" s="80" t="s">
        <v>273</v>
      </c>
      <c r="C175" s="81">
        <v>475</v>
      </c>
      <c r="D175" s="81">
        <v>220</v>
      </c>
      <c r="E175" s="81">
        <v>57</v>
      </c>
      <c r="F175" s="81">
        <v>26</v>
      </c>
      <c r="G175" s="81">
        <v>11</v>
      </c>
      <c r="H175" s="81">
        <v>789</v>
      </c>
      <c r="I175" s="82">
        <v>55.67</v>
      </c>
      <c r="J175" s="82">
        <v>0</v>
      </c>
      <c r="K175" s="82">
        <v>0</v>
      </c>
      <c r="L175" s="81">
        <v>218</v>
      </c>
      <c r="M175" s="81">
        <v>497</v>
      </c>
      <c r="N175" s="81">
        <f>ROUND(_xlfn.XLOOKUP(B175,'CTE Data'!A:A,'CTE Data'!B:B,0)*H175,0)</f>
        <v>0</v>
      </c>
      <c r="O175" s="76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">
      <c r="A176" s="80" t="s">
        <v>263</v>
      </c>
      <c r="B176" s="80" t="s">
        <v>274</v>
      </c>
      <c r="C176" s="81">
        <v>0</v>
      </c>
      <c r="D176" s="81">
        <v>598</v>
      </c>
      <c r="E176" s="81">
        <v>80</v>
      </c>
      <c r="F176" s="81">
        <v>45</v>
      </c>
      <c r="G176" s="81">
        <v>21</v>
      </c>
      <c r="H176" s="81">
        <v>744</v>
      </c>
      <c r="I176" s="82">
        <v>56.73</v>
      </c>
      <c r="J176" s="82">
        <v>-1.73</v>
      </c>
      <c r="K176" s="82">
        <v>3.46</v>
      </c>
      <c r="L176" s="81">
        <v>123</v>
      </c>
      <c r="M176" s="81">
        <v>85</v>
      </c>
      <c r="N176" s="81">
        <f>ROUND(_xlfn.XLOOKUP(B176,'CTE Data'!A:A,'CTE Data'!B:B,0)*H176,0)</f>
        <v>73</v>
      </c>
      <c r="O176" s="76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">
      <c r="A177" s="80" t="s">
        <v>263</v>
      </c>
      <c r="B177" s="80" t="s">
        <v>275</v>
      </c>
      <c r="C177" s="81">
        <v>194</v>
      </c>
      <c r="D177" s="81">
        <v>78</v>
      </c>
      <c r="E177" s="81">
        <v>20</v>
      </c>
      <c r="F177" s="81">
        <v>21</v>
      </c>
      <c r="G177" s="81">
        <v>5</v>
      </c>
      <c r="H177" s="81">
        <v>318</v>
      </c>
      <c r="I177" s="82">
        <v>23.68</v>
      </c>
      <c r="J177" s="82">
        <v>0</v>
      </c>
      <c r="K177" s="82">
        <v>0</v>
      </c>
      <c r="L177" s="81">
        <v>68</v>
      </c>
      <c r="M177" s="81">
        <v>77</v>
      </c>
      <c r="N177" s="81">
        <f>ROUND(_xlfn.XLOOKUP(B177,'CTE Data'!A:A,'CTE Data'!B:B,0)*H177,0)</f>
        <v>0</v>
      </c>
      <c r="O177" s="76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">
      <c r="A178" s="80" t="s">
        <v>263</v>
      </c>
      <c r="B178" s="80" t="s">
        <v>276</v>
      </c>
      <c r="C178" s="81">
        <v>154</v>
      </c>
      <c r="D178" s="81">
        <v>190</v>
      </c>
      <c r="E178" s="81">
        <v>44</v>
      </c>
      <c r="F178" s="81">
        <v>11</v>
      </c>
      <c r="G178" s="81">
        <v>4</v>
      </c>
      <c r="H178" s="81">
        <v>403</v>
      </c>
      <c r="I178" s="82">
        <v>27.62</v>
      </c>
      <c r="J178" s="82">
        <v>0</v>
      </c>
      <c r="K178" s="82">
        <v>0</v>
      </c>
      <c r="L178" s="81">
        <v>44</v>
      </c>
      <c r="M178" s="81">
        <v>18</v>
      </c>
      <c r="N178" s="81">
        <f>ROUND(_xlfn.XLOOKUP(B178,'CTE Data'!A:A,'CTE Data'!B:B,0)*H178,0)</f>
        <v>0</v>
      </c>
      <c r="O178" s="76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">
      <c r="A179" s="80" t="s">
        <v>263</v>
      </c>
      <c r="B179" s="80" t="s">
        <v>277</v>
      </c>
      <c r="C179" s="81">
        <v>0</v>
      </c>
      <c r="D179" s="81">
        <v>1668</v>
      </c>
      <c r="E179" s="81">
        <v>99</v>
      </c>
      <c r="F179" s="81">
        <v>164</v>
      </c>
      <c r="G179" s="81">
        <v>21</v>
      </c>
      <c r="H179" s="81">
        <v>1952</v>
      </c>
      <c r="I179" s="82">
        <v>142.97999999999999</v>
      </c>
      <c r="J179" s="82">
        <v>-12.39</v>
      </c>
      <c r="K179" s="82">
        <v>24.77</v>
      </c>
      <c r="L179" s="81">
        <v>455</v>
      </c>
      <c r="M179" s="81">
        <v>586</v>
      </c>
      <c r="N179" s="81">
        <f>ROUND(_xlfn.XLOOKUP(B179,'CTE Data'!A:A,'CTE Data'!B:B,0)*H179,0)</f>
        <v>401</v>
      </c>
      <c r="O179" s="76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">
      <c r="A180" s="80" t="s">
        <v>263</v>
      </c>
      <c r="B180" s="80" t="s">
        <v>278</v>
      </c>
      <c r="C180" s="81">
        <v>0</v>
      </c>
      <c r="D180" s="81">
        <v>604</v>
      </c>
      <c r="E180" s="81">
        <v>46</v>
      </c>
      <c r="F180" s="81">
        <v>52</v>
      </c>
      <c r="G180" s="81">
        <v>33</v>
      </c>
      <c r="H180" s="81">
        <v>735</v>
      </c>
      <c r="I180" s="82">
        <v>58.81</v>
      </c>
      <c r="J180" s="82">
        <v>-1.78</v>
      </c>
      <c r="K180" s="82">
        <v>3.55</v>
      </c>
      <c r="L180" s="81">
        <v>199</v>
      </c>
      <c r="M180" s="81">
        <v>92</v>
      </c>
      <c r="N180" s="81">
        <f>ROUND(_xlfn.XLOOKUP(B180,'CTE Data'!A:A,'CTE Data'!B:B,0)*H180,0)</f>
        <v>74</v>
      </c>
      <c r="O180" s="76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85" customFormat="1" x14ac:dyDescent="0.2">
      <c r="A181" s="85" t="s">
        <v>263</v>
      </c>
      <c r="B181" s="85" t="s">
        <v>279</v>
      </c>
      <c r="C181" s="86">
        <v>2725</v>
      </c>
      <c r="D181" s="86">
        <v>5905</v>
      </c>
      <c r="E181" s="86">
        <v>868</v>
      </c>
      <c r="F181" s="86">
        <v>622</v>
      </c>
      <c r="G181" s="86">
        <v>500</v>
      </c>
      <c r="H181" s="86">
        <v>10620</v>
      </c>
      <c r="I181" s="88">
        <v>886.74</v>
      </c>
      <c r="J181" s="88">
        <v>-23.98</v>
      </c>
      <c r="K181" s="88">
        <v>47.95</v>
      </c>
      <c r="L181" s="86">
        <v>2487</v>
      </c>
      <c r="M181" s="86">
        <v>2675</v>
      </c>
      <c r="N181" s="86">
        <f>SUM(N166:N180)</f>
        <v>950</v>
      </c>
      <c r="O181" s="88">
        <f>SUM(O166:O180)</f>
        <v>15</v>
      </c>
      <c r="P181" s="88">
        <f t="shared" ref="P181:R181" si="62">SUM(P166:P180)</f>
        <v>39</v>
      </c>
      <c r="Q181" s="88">
        <f t="shared" si="62"/>
        <v>177.34800000000001</v>
      </c>
      <c r="R181" s="88">
        <f t="shared" si="62"/>
        <v>98</v>
      </c>
      <c r="S181" s="87">
        <f t="shared" si="45"/>
        <v>2</v>
      </c>
      <c r="T181" s="87">
        <f t="shared" si="55"/>
        <v>6</v>
      </c>
      <c r="U181" s="87">
        <f>MAX(1,1+INT((I181-500)/500))</f>
        <v>1</v>
      </c>
    </row>
    <row r="182" spans="1:21" x14ac:dyDescent="0.2">
      <c r="A182" s="80" t="s">
        <v>404</v>
      </c>
      <c r="B182" s="80" t="s">
        <v>405</v>
      </c>
      <c r="C182" s="81">
        <v>228</v>
      </c>
      <c r="D182" s="81">
        <v>106</v>
      </c>
      <c r="E182" s="81">
        <v>25</v>
      </c>
      <c r="F182" s="81">
        <v>16</v>
      </c>
      <c r="G182" s="81">
        <v>1</v>
      </c>
      <c r="H182" s="81">
        <v>376</v>
      </c>
      <c r="I182" s="82">
        <v>25.4</v>
      </c>
      <c r="J182" s="82">
        <v>0</v>
      </c>
      <c r="K182" s="82">
        <v>0</v>
      </c>
      <c r="L182" s="81">
        <v>245</v>
      </c>
      <c r="M182" s="81">
        <v>2</v>
      </c>
      <c r="N182" s="81">
        <v>0</v>
      </c>
      <c r="O182" s="76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">
      <c r="A183" s="80" t="s">
        <v>404</v>
      </c>
      <c r="B183" s="80" t="s">
        <v>406</v>
      </c>
      <c r="C183" s="81">
        <v>0</v>
      </c>
      <c r="D183" s="81">
        <v>131</v>
      </c>
      <c r="E183" s="81">
        <v>30</v>
      </c>
      <c r="F183" s="81">
        <v>14</v>
      </c>
      <c r="G183" s="81">
        <v>5</v>
      </c>
      <c r="H183" s="81">
        <v>180</v>
      </c>
      <c r="I183" s="82">
        <v>14.38</v>
      </c>
      <c r="J183" s="82">
        <v>0</v>
      </c>
      <c r="K183" s="82">
        <v>0</v>
      </c>
      <c r="L183" s="81">
        <v>108</v>
      </c>
      <c r="M183" s="81">
        <v>0</v>
      </c>
      <c r="N183" s="81">
        <v>0</v>
      </c>
      <c r="O183" s="76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85" customFormat="1" x14ac:dyDescent="0.2">
      <c r="A184" s="85" t="s">
        <v>404</v>
      </c>
      <c r="B184" s="85" t="s">
        <v>404</v>
      </c>
      <c r="C184" s="86">
        <v>228</v>
      </c>
      <c r="D184" s="86">
        <v>237</v>
      </c>
      <c r="E184" s="85">
        <v>55</v>
      </c>
      <c r="F184" s="86">
        <v>30</v>
      </c>
      <c r="G184" s="86">
        <v>6</v>
      </c>
      <c r="H184" s="86">
        <v>556</v>
      </c>
      <c r="I184" s="87">
        <v>39.78</v>
      </c>
      <c r="J184" s="87">
        <v>0</v>
      </c>
      <c r="K184" s="87">
        <v>0</v>
      </c>
      <c r="L184" s="86">
        <v>353</v>
      </c>
      <c r="M184" s="86">
        <v>2</v>
      </c>
      <c r="N184" s="86">
        <f>ROUND(_xlfn.XLOOKUP(B184,'CTE Data'!A:A,'CTE Data'!B:B,0)*H184,0)</f>
        <v>0</v>
      </c>
      <c r="O184" s="88">
        <f>SUM(O182:O183)</f>
        <v>2</v>
      </c>
      <c r="P184" s="88">
        <f t="shared" ref="P184" si="63">SUM(P182:P183)</f>
        <v>1</v>
      </c>
      <c r="Q184" s="88">
        <f t="shared" ref="Q184" si="64">SUM(Q182:Q183)</f>
        <v>7.9560000000000004</v>
      </c>
      <c r="R184" s="88">
        <f t="shared" ref="R184" si="65">SUM(R182:R183)</f>
        <v>4</v>
      </c>
      <c r="S184" s="87">
        <f t="shared" si="45"/>
        <v>0</v>
      </c>
      <c r="T184" s="87">
        <f t="shared" si="55"/>
        <v>0</v>
      </c>
      <c r="U184" s="87">
        <f>MAX(1,1+INT((I184-500)/500))</f>
        <v>1</v>
      </c>
    </row>
    <row r="185" spans="1:21" x14ac:dyDescent="0.2">
      <c r="A185" s="80" t="s">
        <v>280</v>
      </c>
      <c r="B185" s="80" t="s">
        <v>281</v>
      </c>
      <c r="C185" s="81">
        <v>0</v>
      </c>
      <c r="D185" s="81">
        <v>707</v>
      </c>
      <c r="E185" s="81">
        <v>159</v>
      </c>
      <c r="F185" s="81">
        <v>28</v>
      </c>
      <c r="G185" s="81">
        <v>22</v>
      </c>
      <c r="H185" s="81">
        <v>916</v>
      </c>
      <c r="I185" s="82">
        <v>69.069999999999993</v>
      </c>
      <c r="J185" s="82">
        <v>-1.66</v>
      </c>
      <c r="K185" s="82">
        <v>3.32</v>
      </c>
      <c r="L185" s="81">
        <v>309</v>
      </c>
      <c r="M185" s="81">
        <v>37</v>
      </c>
      <c r="N185" s="81">
        <f>ROUND(_xlfn.XLOOKUP(B185,'CTE Data'!A:A,'CTE Data'!B:B,0)*H185,0)</f>
        <v>80</v>
      </c>
      <c r="O185" s="76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">
      <c r="A186" s="80" t="s">
        <v>280</v>
      </c>
      <c r="B186" s="80" t="s">
        <v>282</v>
      </c>
      <c r="C186" s="81">
        <v>0</v>
      </c>
      <c r="D186" s="81">
        <v>0</v>
      </c>
      <c r="E186" s="81">
        <v>41</v>
      </c>
      <c r="F186" s="81">
        <v>21</v>
      </c>
      <c r="G186" s="81">
        <v>23</v>
      </c>
      <c r="H186" s="81">
        <v>85</v>
      </c>
      <c r="I186" s="82">
        <v>17.23</v>
      </c>
      <c r="J186" s="82">
        <v>0</v>
      </c>
      <c r="K186" s="82">
        <v>0</v>
      </c>
      <c r="L186" s="81">
        <v>25</v>
      </c>
      <c r="M186" s="81">
        <v>0</v>
      </c>
      <c r="N186" s="81">
        <f>ROUND(_xlfn.XLOOKUP(B186,'CTE Data'!A:A,'CTE Data'!B:B,0)*H186,0)</f>
        <v>0</v>
      </c>
      <c r="O186" s="76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">
      <c r="A187" s="80" t="s">
        <v>280</v>
      </c>
      <c r="B187" s="80" t="s">
        <v>283</v>
      </c>
      <c r="C187" s="81">
        <v>0</v>
      </c>
      <c r="D187" s="81">
        <v>460</v>
      </c>
      <c r="E187" s="81">
        <v>92</v>
      </c>
      <c r="F187" s="81">
        <v>24</v>
      </c>
      <c r="G187" s="81">
        <v>16</v>
      </c>
      <c r="H187" s="81">
        <v>592</v>
      </c>
      <c r="I187" s="82">
        <v>44.1</v>
      </c>
      <c r="J187" s="82">
        <v>0</v>
      </c>
      <c r="K187" s="82">
        <v>0</v>
      </c>
      <c r="L187" s="81">
        <v>188</v>
      </c>
      <c r="M187" s="81">
        <v>17</v>
      </c>
      <c r="N187" s="81">
        <f>ROUND(_xlfn.XLOOKUP(B187,'CTE Data'!A:A,'CTE Data'!B:B,0)*H187,0)</f>
        <v>0</v>
      </c>
      <c r="O187" s="76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">
      <c r="A188" s="80" t="s">
        <v>280</v>
      </c>
      <c r="B188" s="80" t="s">
        <v>284</v>
      </c>
      <c r="C188" s="81">
        <v>307</v>
      </c>
      <c r="D188" s="81">
        <v>0</v>
      </c>
      <c r="E188" s="81">
        <v>17</v>
      </c>
      <c r="F188" s="81">
        <v>18</v>
      </c>
      <c r="G188" s="81">
        <v>13</v>
      </c>
      <c r="H188" s="81">
        <v>355</v>
      </c>
      <c r="I188" s="82">
        <v>28.97</v>
      </c>
      <c r="J188" s="82">
        <v>0</v>
      </c>
      <c r="K188" s="82">
        <v>0</v>
      </c>
      <c r="L188" s="81">
        <v>92</v>
      </c>
      <c r="M188" s="81">
        <v>44</v>
      </c>
      <c r="N188" s="81">
        <f>ROUND(_xlfn.XLOOKUP(B188,'CTE Data'!A:A,'CTE Data'!B:B,0)*H188,0)</f>
        <v>0</v>
      </c>
      <c r="O188" s="76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">
      <c r="A189" s="80" t="s">
        <v>280</v>
      </c>
      <c r="B189" s="80" t="s">
        <v>285</v>
      </c>
      <c r="C189" s="81">
        <v>0</v>
      </c>
      <c r="D189" s="81">
        <v>803</v>
      </c>
      <c r="E189" s="81">
        <v>163</v>
      </c>
      <c r="F189" s="81">
        <v>24</v>
      </c>
      <c r="G189" s="81">
        <v>15</v>
      </c>
      <c r="H189" s="81">
        <v>1005</v>
      </c>
      <c r="I189" s="82">
        <v>75.849999999999994</v>
      </c>
      <c r="J189" s="82">
        <v>-6.53</v>
      </c>
      <c r="K189" s="82">
        <v>13.06</v>
      </c>
      <c r="L189" s="81">
        <v>268</v>
      </c>
      <c r="M189" s="81">
        <v>44</v>
      </c>
      <c r="N189" s="81">
        <f>ROUND(_xlfn.XLOOKUP(B189,'CTE Data'!A:A,'CTE Data'!B:B,0)*H189,0)</f>
        <v>225</v>
      </c>
      <c r="O189" s="76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">
      <c r="A190" s="80" t="s">
        <v>280</v>
      </c>
      <c r="B190" s="80" t="s">
        <v>286</v>
      </c>
      <c r="C190" s="81">
        <v>358</v>
      </c>
      <c r="D190" s="81">
        <v>0</v>
      </c>
      <c r="E190" s="81">
        <v>17</v>
      </c>
      <c r="F190" s="81">
        <v>8</v>
      </c>
      <c r="G190" s="81">
        <v>15</v>
      </c>
      <c r="H190" s="81">
        <v>398</v>
      </c>
      <c r="I190" s="82">
        <v>31.22</v>
      </c>
      <c r="J190" s="82">
        <v>0</v>
      </c>
      <c r="K190" s="82">
        <v>0</v>
      </c>
      <c r="L190" s="81">
        <v>122</v>
      </c>
      <c r="M190" s="81">
        <v>2</v>
      </c>
      <c r="N190" s="81">
        <f>ROUND(_xlfn.XLOOKUP(B190,'CTE Data'!A:A,'CTE Data'!B:B,0)*H190,0)</f>
        <v>0</v>
      </c>
      <c r="O190" s="76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">
      <c r="A191" s="80" t="s">
        <v>280</v>
      </c>
      <c r="B191" s="80" t="s">
        <v>287</v>
      </c>
      <c r="C191" s="81">
        <v>368</v>
      </c>
      <c r="D191" s="81">
        <v>0</v>
      </c>
      <c r="E191" s="81">
        <v>28</v>
      </c>
      <c r="F191" s="81">
        <v>4</v>
      </c>
      <c r="G191" s="81">
        <v>13</v>
      </c>
      <c r="H191" s="81">
        <v>413</v>
      </c>
      <c r="I191" s="82">
        <v>31.72</v>
      </c>
      <c r="J191" s="82">
        <v>0</v>
      </c>
      <c r="K191" s="82">
        <v>0</v>
      </c>
      <c r="L191" s="81">
        <v>166</v>
      </c>
      <c r="M191" s="81">
        <v>5</v>
      </c>
      <c r="N191" s="81">
        <f>ROUND(_xlfn.XLOOKUP(B191,'CTE Data'!A:A,'CTE Data'!B:B,0)*H191,0)</f>
        <v>0</v>
      </c>
      <c r="O191" s="76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85" customFormat="1" x14ac:dyDescent="0.2">
      <c r="A192" s="85" t="s">
        <v>280</v>
      </c>
      <c r="B192" s="85" t="s">
        <v>288</v>
      </c>
      <c r="C192" s="86">
        <v>1033</v>
      </c>
      <c r="D192" s="86">
        <v>1970</v>
      </c>
      <c r="E192" s="86">
        <v>517</v>
      </c>
      <c r="F192" s="86">
        <v>127</v>
      </c>
      <c r="G192" s="86">
        <v>117</v>
      </c>
      <c r="H192" s="86">
        <v>3764</v>
      </c>
      <c r="I192" s="88">
        <v>298.18</v>
      </c>
      <c r="J192" s="88">
        <v>-8.1999999999999993</v>
      </c>
      <c r="K192" s="88">
        <v>16.39</v>
      </c>
      <c r="L192" s="86">
        <v>1170</v>
      </c>
      <c r="M192" s="86">
        <v>149</v>
      </c>
      <c r="N192" s="86">
        <f>SUM(N185:N191)</f>
        <v>305</v>
      </c>
      <c r="O192" s="88">
        <f>SUM(O185:O191)</f>
        <v>7</v>
      </c>
      <c r="P192" s="88">
        <f t="shared" ref="P192:R192" si="69">SUM(P185:P191)</f>
        <v>12</v>
      </c>
      <c r="Q192" s="88">
        <f t="shared" si="69"/>
        <v>59.632000000000005</v>
      </c>
      <c r="R192" s="88">
        <f t="shared" si="69"/>
        <v>33</v>
      </c>
      <c r="S192" s="87">
        <f t="shared" si="45"/>
        <v>1.37</v>
      </c>
      <c r="T192" s="87">
        <f t="shared" si="55"/>
        <v>3</v>
      </c>
      <c r="U192" s="87">
        <f>MAX(1,1+INT((I192-500)/500))</f>
        <v>1</v>
      </c>
    </row>
    <row r="193" spans="1:21" x14ac:dyDescent="0.2">
      <c r="A193" s="80" t="s">
        <v>407</v>
      </c>
      <c r="B193" s="80" t="s">
        <v>408</v>
      </c>
      <c r="C193" s="81">
        <v>384</v>
      </c>
      <c r="D193" s="81">
        <v>178</v>
      </c>
      <c r="E193" s="81">
        <v>68</v>
      </c>
      <c r="F193" s="81">
        <v>55</v>
      </c>
      <c r="G193" s="81">
        <v>9</v>
      </c>
      <c r="H193" s="81">
        <v>694</v>
      </c>
      <c r="I193" s="82">
        <v>53.33</v>
      </c>
      <c r="J193" s="82">
        <v>0</v>
      </c>
      <c r="K193" s="82">
        <v>0</v>
      </c>
      <c r="L193" s="81">
        <v>201</v>
      </c>
      <c r="M193" s="81">
        <v>216</v>
      </c>
      <c r="N193" s="81">
        <v>0</v>
      </c>
      <c r="O193" s="76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">
      <c r="A194" s="80" t="s">
        <v>407</v>
      </c>
      <c r="B194" s="80" t="s">
        <v>409</v>
      </c>
      <c r="C194" s="81">
        <v>0</v>
      </c>
      <c r="D194" s="81">
        <v>346</v>
      </c>
      <c r="E194" s="81">
        <v>27</v>
      </c>
      <c r="F194" s="81">
        <v>28</v>
      </c>
      <c r="G194" s="81">
        <v>3</v>
      </c>
      <c r="H194" s="81">
        <v>404</v>
      </c>
      <c r="I194" s="82">
        <v>26.33</v>
      </c>
      <c r="J194" s="82">
        <v>0</v>
      </c>
      <c r="K194" s="82">
        <v>0</v>
      </c>
      <c r="L194" s="81">
        <v>108</v>
      </c>
      <c r="M194" s="81">
        <v>115</v>
      </c>
      <c r="N194" s="81">
        <v>0</v>
      </c>
      <c r="O194" s="76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">
      <c r="A195" s="80" t="s">
        <v>407</v>
      </c>
      <c r="B195" s="80" t="s">
        <v>410</v>
      </c>
      <c r="C195" s="81">
        <v>0</v>
      </c>
      <c r="D195" s="81">
        <v>291</v>
      </c>
      <c r="E195" s="81">
        <v>46</v>
      </c>
      <c r="F195" s="81">
        <v>33</v>
      </c>
      <c r="G195" s="81">
        <v>8</v>
      </c>
      <c r="H195" s="81">
        <v>378</v>
      </c>
      <c r="I195" s="82">
        <v>28.6</v>
      </c>
      <c r="J195" s="82">
        <v>-1.82</v>
      </c>
      <c r="K195" s="82">
        <v>3.63</v>
      </c>
      <c r="L195" s="81">
        <v>103</v>
      </c>
      <c r="M195" s="81">
        <v>165</v>
      </c>
      <c r="N195" s="81">
        <v>48</v>
      </c>
      <c r="O195" s="76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85" customFormat="1" x14ac:dyDescent="0.2">
      <c r="A196" s="85" t="s">
        <v>407</v>
      </c>
      <c r="B196" s="85" t="s">
        <v>407</v>
      </c>
      <c r="C196" s="86">
        <v>384</v>
      </c>
      <c r="D196" s="86">
        <v>815</v>
      </c>
      <c r="E196" s="85">
        <v>141</v>
      </c>
      <c r="F196" s="86">
        <v>116</v>
      </c>
      <c r="G196" s="86">
        <v>20</v>
      </c>
      <c r="H196" s="86">
        <v>1476</v>
      </c>
      <c r="I196" s="87">
        <v>110.07</v>
      </c>
      <c r="J196" s="87">
        <v>-1.82</v>
      </c>
      <c r="K196" s="87">
        <v>3.63</v>
      </c>
      <c r="L196" s="86">
        <v>412</v>
      </c>
      <c r="M196" s="86">
        <v>494</v>
      </c>
      <c r="N196" s="86">
        <f>N195+N194+N193</f>
        <v>48</v>
      </c>
      <c r="O196" s="88">
        <f>SUM(O193:O195)</f>
        <v>3</v>
      </c>
      <c r="P196" s="88">
        <f>SUM(P193:P195)</f>
        <v>4</v>
      </c>
      <c r="Q196" s="88">
        <f>SUM(Q193:Q195)</f>
        <v>21.652000000000001</v>
      </c>
      <c r="R196" s="88">
        <f>SUM(R193:R195)</f>
        <v>12</v>
      </c>
      <c r="S196" s="87">
        <f t="shared" si="71"/>
        <v>0</v>
      </c>
      <c r="T196" s="87">
        <f t="shared" si="70"/>
        <v>0</v>
      </c>
      <c r="U196" s="87">
        <f>MAX(1,1+INT((I196-500)/500))</f>
        <v>1</v>
      </c>
    </row>
    <row r="197" spans="1:21" x14ac:dyDescent="0.2">
      <c r="A197" s="80" t="s">
        <v>289</v>
      </c>
      <c r="B197" s="80" t="s">
        <v>290</v>
      </c>
      <c r="C197" s="81">
        <v>343</v>
      </c>
      <c r="D197" s="81">
        <v>483</v>
      </c>
      <c r="E197" s="81">
        <v>114</v>
      </c>
      <c r="F197" s="81">
        <v>17</v>
      </c>
      <c r="G197" s="81">
        <v>20</v>
      </c>
      <c r="H197" s="81">
        <v>977</v>
      </c>
      <c r="I197" s="82">
        <v>69.41</v>
      </c>
      <c r="J197" s="82">
        <v>0</v>
      </c>
      <c r="K197" s="82">
        <v>0</v>
      </c>
      <c r="L197" s="81">
        <v>387</v>
      </c>
      <c r="M197" s="81">
        <v>231</v>
      </c>
      <c r="N197" s="81">
        <f>ROUND(_xlfn.XLOOKUP(B197,'CTE Data'!A:A,'CTE Data'!B:B,0)*H197,0)</f>
        <v>0</v>
      </c>
      <c r="O197" s="76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">
      <c r="A198" s="80" t="s">
        <v>289</v>
      </c>
      <c r="B198" s="80" t="s">
        <v>291</v>
      </c>
      <c r="C198" s="81">
        <v>0</v>
      </c>
      <c r="D198" s="81">
        <v>311</v>
      </c>
      <c r="E198" s="81">
        <v>43</v>
      </c>
      <c r="F198" s="81">
        <v>7</v>
      </c>
      <c r="G198" s="81">
        <v>4</v>
      </c>
      <c r="H198" s="81">
        <v>365</v>
      </c>
      <c r="I198" s="82">
        <v>25.54</v>
      </c>
      <c r="J198" s="82">
        <v>-2.17</v>
      </c>
      <c r="K198" s="82">
        <v>4.33</v>
      </c>
      <c r="L198" s="81">
        <v>134</v>
      </c>
      <c r="M198" s="81">
        <v>82</v>
      </c>
      <c r="N198" s="81">
        <f>ROUND(_xlfn.XLOOKUP(B198,'CTE Data'!A:A,'CTE Data'!B:B,0)*H198,0)</f>
        <v>84</v>
      </c>
      <c r="O198" s="76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">
      <c r="A199" s="80" t="s">
        <v>289</v>
      </c>
      <c r="B199" s="80" t="s">
        <v>292</v>
      </c>
      <c r="C199" s="81">
        <v>0</v>
      </c>
      <c r="D199" s="81">
        <v>553</v>
      </c>
      <c r="E199" s="81">
        <v>99</v>
      </c>
      <c r="F199" s="81">
        <v>14</v>
      </c>
      <c r="G199" s="81">
        <v>17</v>
      </c>
      <c r="H199" s="81">
        <v>683</v>
      </c>
      <c r="I199" s="82">
        <v>52.16</v>
      </c>
      <c r="J199" s="82">
        <v>-3.86</v>
      </c>
      <c r="K199" s="82">
        <v>7.71</v>
      </c>
      <c r="L199" s="81">
        <v>229</v>
      </c>
      <c r="M199" s="81">
        <v>140</v>
      </c>
      <c r="N199" s="81">
        <f>ROUND(_xlfn.XLOOKUP(B199,'CTE Data'!A:A,'CTE Data'!B:B,0)*H199,0)</f>
        <v>133</v>
      </c>
      <c r="O199" s="76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">
      <c r="A200" s="80" t="s">
        <v>289</v>
      </c>
      <c r="B200" s="80" t="s">
        <v>293</v>
      </c>
      <c r="C200" s="81">
        <v>375</v>
      </c>
      <c r="D200" s="81">
        <v>0</v>
      </c>
      <c r="E200" s="81">
        <v>48</v>
      </c>
      <c r="F200" s="81">
        <v>25</v>
      </c>
      <c r="G200" s="81">
        <v>26</v>
      </c>
      <c r="H200" s="81">
        <v>474</v>
      </c>
      <c r="I200" s="82">
        <v>43.04</v>
      </c>
      <c r="J200" s="82">
        <v>0</v>
      </c>
      <c r="K200" s="82">
        <v>0</v>
      </c>
      <c r="L200" s="81">
        <v>219</v>
      </c>
      <c r="M200" s="81">
        <v>126</v>
      </c>
      <c r="N200" s="81">
        <f>ROUND(_xlfn.XLOOKUP(B200,'CTE Data'!A:A,'CTE Data'!B:B,0)*H200,0)</f>
        <v>0</v>
      </c>
      <c r="O200" s="76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85" customFormat="1" x14ac:dyDescent="0.2">
      <c r="A201" s="85" t="s">
        <v>289</v>
      </c>
      <c r="B201" s="85" t="s">
        <v>294</v>
      </c>
      <c r="C201" s="86">
        <v>718</v>
      </c>
      <c r="D201" s="86">
        <v>1347</v>
      </c>
      <c r="E201" s="86">
        <v>304</v>
      </c>
      <c r="F201" s="86">
        <v>63</v>
      </c>
      <c r="G201" s="86">
        <v>67</v>
      </c>
      <c r="H201" s="86">
        <v>2499</v>
      </c>
      <c r="I201" s="88">
        <v>190.15</v>
      </c>
      <c r="J201" s="88">
        <v>-6.02</v>
      </c>
      <c r="K201" s="88">
        <v>12.04</v>
      </c>
      <c r="L201" s="86">
        <v>969</v>
      </c>
      <c r="M201" s="86">
        <v>579</v>
      </c>
      <c r="N201" s="86">
        <f>SUM(N197:N200)</f>
        <v>217</v>
      </c>
      <c r="O201" s="88">
        <f>SUM(O197:O200)</f>
        <v>4</v>
      </c>
      <c r="P201" s="88">
        <f t="shared" ref="P201:R201" si="72">SUM(P197:P200)</f>
        <v>8</v>
      </c>
      <c r="Q201" s="88">
        <f t="shared" si="72"/>
        <v>38.03</v>
      </c>
      <c r="R201" s="88">
        <f t="shared" si="72"/>
        <v>22</v>
      </c>
      <c r="S201" s="87">
        <f t="shared" si="71"/>
        <v>0</v>
      </c>
      <c r="T201" s="87">
        <f t="shared" si="70"/>
        <v>1</v>
      </c>
      <c r="U201" s="87">
        <f>MAX(1,1+INT((I201-500)/500))</f>
        <v>1</v>
      </c>
    </row>
    <row r="202" spans="1:21" x14ac:dyDescent="0.2">
      <c r="A202" s="80" t="s">
        <v>295</v>
      </c>
      <c r="B202" s="80" t="s">
        <v>296</v>
      </c>
      <c r="C202" s="81">
        <v>297</v>
      </c>
      <c r="D202" s="81">
        <v>0</v>
      </c>
      <c r="E202" s="81">
        <v>24</v>
      </c>
      <c r="F202" s="81">
        <v>25</v>
      </c>
      <c r="G202" s="81">
        <v>11</v>
      </c>
      <c r="H202" s="81">
        <v>357</v>
      </c>
      <c r="I202" s="82">
        <v>29.59</v>
      </c>
      <c r="J202" s="82">
        <v>0</v>
      </c>
      <c r="K202" s="82">
        <v>0</v>
      </c>
      <c r="L202" s="81">
        <v>127</v>
      </c>
      <c r="M202" s="81">
        <v>107</v>
      </c>
      <c r="N202" s="81">
        <f>ROUND(_xlfn.XLOOKUP(B202,'CTE Data'!A:A,'CTE Data'!B:B,0)*H202,0)</f>
        <v>0</v>
      </c>
      <c r="O202" s="76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">
      <c r="A203" s="80" t="s">
        <v>295</v>
      </c>
      <c r="B203" s="80" t="s">
        <v>297</v>
      </c>
      <c r="C203" s="81">
        <v>0</v>
      </c>
      <c r="D203" s="81">
        <v>565</v>
      </c>
      <c r="E203" s="81">
        <v>93</v>
      </c>
      <c r="F203" s="81">
        <v>19</v>
      </c>
      <c r="G203" s="81">
        <v>13</v>
      </c>
      <c r="H203" s="81">
        <v>690</v>
      </c>
      <c r="I203" s="82">
        <v>49</v>
      </c>
      <c r="J203" s="82">
        <v>-1.52</v>
      </c>
      <c r="K203" s="82">
        <v>3.03</v>
      </c>
      <c r="L203" s="81">
        <v>201</v>
      </c>
      <c r="M203" s="81">
        <v>137</v>
      </c>
      <c r="N203" s="81">
        <f>ROUND(_xlfn.XLOOKUP(B203,'CTE Data'!A:A,'CTE Data'!B:B,0)*H203,0)</f>
        <v>53</v>
      </c>
      <c r="O203" s="76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">
      <c r="A204" s="80" t="s">
        <v>295</v>
      </c>
      <c r="B204" s="80" t="s">
        <v>298</v>
      </c>
      <c r="C204" s="81">
        <v>0</v>
      </c>
      <c r="D204" s="81">
        <v>571</v>
      </c>
      <c r="E204" s="81">
        <v>90</v>
      </c>
      <c r="F204" s="81">
        <v>35</v>
      </c>
      <c r="G204" s="81">
        <v>8</v>
      </c>
      <c r="H204" s="81">
        <v>704</v>
      </c>
      <c r="I204" s="82">
        <v>48.17</v>
      </c>
      <c r="J204" s="82">
        <v>0</v>
      </c>
      <c r="K204" s="82">
        <v>0</v>
      </c>
      <c r="L204" s="81">
        <v>213</v>
      </c>
      <c r="M204" s="81">
        <v>146</v>
      </c>
      <c r="N204" s="81">
        <f>ROUND(_xlfn.XLOOKUP(B204,'CTE Data'!A:A,'CTE Data'!B:B,0)*H204,0)</f>
        <v>0</v>
      </c>
      <c r="O204" s="76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">
      <c r="A205" s="80" t="s">
        <v>295</v>
      </c>
      <c r="B205" s="80" t="s">
        <v>299</v>
      </c>
      <c r="C205" s="81">
        <v>0</v>
      </c>
      <c r="D205" s="81">
        <v>1034</v>
      </c>
      <c r="E205" s="81">
        <v>153</v>
      </c>
      <c r="F205" s="81">
        <v>33</v>
      </c>
      <c r="G205" s="81">
        <v>11</v>
      </c>
      <c r="H205" s="81">
        <v>1231</v>
      </c>
      <c r="I205" s="82">
        <v>87.76</v>
      </c>
      <c r="J205" s="82">
        <v>-8.1199999999999992</v>
      </c>
      <c r="K205" s="82">
        <v>16.239999999999998</v>
      </c>
      <c r="L205" s="81">
        <v>325</v>
      </c>
      <c r="M205" s="81">
        <v>266</v>
      </c>
      <c r="N205" s="81">
        <f>ROUND(_xlfn.XLOOKUP(B205,'CTE Data'!A:A,'CTE Data'!B:B,0)*H205,0)</f>
        <v>273</v>
      </c>
      <c r="O205" s="76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">
      <c r="A206" s="80" t="s">
        <v>295</v>
      </c>
      <c r="B206" s="80" t="s">
        <v>300</v>
      </c>
      <c r="C206" s="81">
        <v>283</v>
      </c>
      <c r="D206" s="81">
        <v>132</v>
      </c>
      <c r="E206" s="81">
        <v>37</v>
      </c>
      <c r="F206" s="81">
        <v>24</v>
      </c>
      <c r="G206" s="81">
        <v>7</v>
      </c>
      <c r="H206" s="81">
        <v>483</v>
      </c>
      <c r="I206" s="82">
        <v>35.159999999999997</v>
      </c>
      <c r="J206" s="82">
        <v>0</v>
      </c>
      <c r="K206" s="82">
        <v>0</v>
      </c>
      <c r="L206" s="81">
        <v>177</v>
      </c>
      <c r="M206" s="81">
        <v>154</v>
      </c>
      <c r="N206" s="81">
        <f>ROUND(_xlfn.XLOOKUP(B206,'CTE Data'!A:A,'CTE Data'!B:B,0)*H206,0)</f>
        <v>0</v>
      </c>
      <c r="O206" s="76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">
      <c r="A207" s="80" t="s">
        <v>295</v>
      </c>
      <c r="B207" s="80" t="s">
        <v>301</v>
      </c>
      <c r="C207" s="81">
        <v>350</v>
      </c>
      <c r="D207" s="81">
        <v>0</v>
      </c>
      <c r="E207" s="81">
        <v>37</v>
      </c>
      <c r="F207" s="81">
        <v>37</v>
      </c>
      <c r="G207" s="81">
        <v>11</v>
      </c>
      <c r="H207" s="81">
        <v>435</v>
      </c>
      <c r="I207" s="82">
        <v>36.409999999999997</v>
      </c>
      <c r="J207" s="82">
        <v>0</v>
      </c>
      <c r="K207" s="82">
        <v>0</v>
      </c>
      <c r="L207" s="81">
        <v>126</v>
      </c>
      <c r="M207" s="81">
        <v>97</v>
      </c>
      <c r="N207" s="81">
        <f>ROUND(_xlfn.XLOOKUP(B207,'CTE Data'!A:A,'CTE Data'!B:B,0)*H207,0)</f>
        <v>0</v>
      </c>
      <c r="O207" s="76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">
      <c r="A208" s="80" t="s">
        <v>295</v>
      </c>
      <c r="B208" s="80" t="s">
        <v>302</v>
      </c>
      <c r="C208" s="81">
        <v>356</v>
      </c>
      <c r="D208" s="81">
        <v>176</v>
      </c>
      <c r="E208" s="81">
        <v>41</v>
      </c>
      <c r="F208" s="81">
        <v>27</v>
      </c>
      <c r="G208" s="81">
        <v>14</v>
      </c>
      <c r="H208" s="81">
        <v>614</v>
      </c>
      <c r="I208" s="82">
        <v>45.54</v>
      </c>
      <c r="J208" s="82">
        <v>0</v>
      </c>
      <c r="K208" s="82">
        <v>0</v>
      </c>
      <c r="L208" s="81">
        <v>187</v>
      </c>
      <c r="M208" s="81">
        <v>173</v>
      </c>
      <c r="N208" s="81">
        <f>ROUND(_xlfn.XLOOKUP(B208,'CTE Data'!A:A,'CTE Data'!B:B,0)*H208,0)</f>
        <v>0</v>
      </c>
      <c r="O208" s="76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85" customFormat="1" x14ac:dyDescent="0.2">
      <c r="A209" s="85" t="s">
        <v>295</v>
      </c>
      <c r="B209" s="85" t="s">
        <v>303</v>
      </c>
      <c r="C209" s="86">
        <v>1286</v>
      </c>
      <c r="D209" s="86">
        <v>2478</v>
      </c>
      <c r="E209" s="86">
        <v>475</v>
      </c>
      <c r="F209" s="86">
        <v>200</v>
      </c>
      <c r="G209" s="86">
        <v>75</v>
      </c>
      <c r="H209" s="86">
        <v>4514</v>
      </c>
      <c r="I209" s="88">
        <v>331.64</v>
      </c>
      <c r="J209" s="88">
        <v>-9.64</v>
      </c>
      <c r="K209" s="88">
        <v>19.27</v>
      </c>
      <c r="L209" s="86">
        <v>1356</v>
      </c>
      <c r="M209" s="86">
        <v>1080</v>
      </c>
      <c r="N209" s="86">
        <f>SUM(N202:N208)</f>
        <v>326</v>
      </c>
      <c r="O209" s="88">
        <f>SUM(O202:O208)</f>
        <v>7</v>
      </c>
      <c r="P209" s="88">
        <f t="shared" ref="P209:R209" si="76">SUM(P202:P208)</f>
        <v>14</v>
      </c>
      <c r="Q209" s="88">
        <f t="shared" si="76"/>
        <v>66.326000000000008</v>
      </c>
      <c r="R209" s="88">
        <f t="shared" si="76"/>
        <v>36</v>
      </c>
      <c r="S209" s="87">
        <f t="shared" si="71"/>
        <v>1.52</v>
      </c>
      <c r="T209" s="87">
        <f t="shared" si="70"/>
        <v>3</v>
      </c>
      <c r="U209" s="87">
        <f>MAX(1,1+INT((I209-500)/500))</f>
        <v>1</v>
      </c>
    </row>
    <row r="210" spans="1:21" x14ac:dyDescent="0.2">
      <c r="A210" s="80" t="s">
        <v>411</v>
      </c>
      <c r="B210" s="80" t="s">
        <v>412</v>
      </c>
      <c r="C210" s="81">
        <v>273</v>
      </c>
      <c r="D210" s="81">
        <v>132</v>
      </c>
      <c r="E210" s="81">
        <v>27</v>
      </c>
      <c r="F210" s="81">
        <v>17</v>
      </c>
      <c r="G210" s="81">
        <v>5</v>
      </c>
      <c r="H210" s="81">
        <v>454</v>
      </c>
      <c r="I210" s="82">
        <v>31.43</v>
      </c>
      <c r="J210" s="82">
        <v>0</v>
      </c>
      <c r="K210" s="82">
        <v>0</v>
      </c>
      <c r="L210" s="81">
        <v>36</v>
      </c>
      <c r="M210" s="81">
        <v>21</v>
      </c>
      <c r="N210" s="81">
        <v>0</v>
      </c>
      <c r="O210" s="76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">
      <c r="A211" s="80" t="s">
        <v>411</v>
      </c>
      <c r="B211" s="80" t="s">
        <v>413</v>
      </c>
      <c r="C211" s="81">
        <v>0</v>
      </c>
      <c r="D211" s="81">
        <v>216</v>
      </c>
      <c r="E211" s="81">
        <v>14</v>
      </c>
      <c r="F211" s="81">
        <v>5</v>
      </c>
      <c r="G211" s="81">
        <v>0</v>
      </c>
      <c r="H211" s="81">
        <v>235</v>
      </c>
      <c r="I211" s="82">
        <v>13.3</v>
      </c>
      <c r="J211" s="82">
        <v>-1.08</v>
      </c>
      <c r="K211" s="82">
        <v>2.16</v>
      </c>
      <c r="L211" s="81">
        <v>17</v>
      </c>
      <c r="M211" s="81">
        <v>15</v>
      </c>
      <c r="N211" s="81">
        <v>37</v>
      </c>
      <c r="O211" s="76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">
      <c r="A212" s="80" t="s">
        <v>411</v>
      </c>
      <c r="B212" s="80" t="s">
        <v>414</v>
      </c>
      <c r="C212" s="81">
        <v>0</v>
      </c>
      <c r="D212" s="81">
        <v>638</v>
      </c>
      <c r="E212" s="81">
        <v>44</v>
      </c>
      <c r="F212" s="81">
        <v>14</v>
      </c>
      <c r="G212" s="81">
        <v>5</v>
      </c>
      <c r="H212" s="81">
        <v>701</v>
      </c>
      <c r="I212" s="82">
        <v>41.39</v>
      </c>
      <c r="J212" s="82">
        <v>-5.13</v>
      </c>
      <c r="K212" s="82">
        <v>10.26</v>
      </c>
      <c r="L212" s="81">
        <v>32</v>
      </c>
      <c r="M212" s="81">
        <v>14</v>
      </c>
      <c r="N212" s="81">
        <v>147</v>
      </c>
      <c r="O212" s="76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85" customFormat="1" x14ac:dyDescent="0.2">
      <c r="A213" s="85" t="s">
        <v>411</v>
      </c>
      <c r="B213" s="85" t="s">
        <v>411</v>
      </c>
      <c r="C213" s="86">
        <v>273</v>
      </c>
      <c r="D213" s="86">
        <v>986</v>
      </c>
      <c r="E213" s="85">
        <v>85</v>
      </c>
      <c r="F213" s="86">
        <v>36</v>
      </c>
      <c r="G213" s="86">
        <v>10</v>
      </c>
      <c r="H213" s="86">
        <v>1390</v>
      </c>
      <c r="I213" s="87">
        <v>92.33</v>
      </c>
      <c r="J213" s="87">
        <v>-6.21</v>
      </c>
      <c r="K213" s="87">
        <v>12.42</v>
      </c>
      <c r="L213" s="86">
        <v>89</v>
      </c>
      <c r="M213" s="86">
        <v>50</v>
      </c>
      <c r="N213" s="86">
        <f>N212+N211+N210</f>
        <v>184</v>
      </c>
      <c r="O213" s="88">
        <f>SUM(O210:O212)</f>
        <v>3</v>
      </c>
      <c r="P213" s="88">
        <f>SUM(P210:P212)</f>
        <v>2</v>
      </c>
      <c r="Q213" s="88">
        <f>SUM(Q210:Q212)</f>
        <v>17.224000000000004</v>
      </c>
      <c r="R213" s="88">
        <f>SUM(R210:R212)</f>
        <v>9</v>
      </c>
      <c r="S213" s="87">
        <f t="shared" si="71"/>
        <v>0</v>
      </c>
      <c r="T213" s="87">
        <f t="shared" si="70"/>
        <v>0</v>
      </c>
      <c r="U213" s="87">
        <f>MAX(1,1+INT((I213-500)/500))</f>
        <v>1</v>
      </c>
    </row>
    <row r="214" spans="1:21" x14ac:dyDescent="0.2">
      <c r="A214" s="80" t="s">
        <v>304</v>
      </c>
      <c r="B214" s="80" t="s">
        <v>305</v>
      </c>
      <c r="C214" s="81">
        <v>0</v>
      </c>
      <c r="D214" s="81">
        <v>0</v>
      </c>
      <c r="E214" s="81">
        <v>0</v>
      </c>
      <c r="F214" s="81">
        <v>20</v>
      </c>
      <c r="G214" s="81">
        <v>16</v>
      </c>
      <c r="H214" s="81">
        <v>36</v>
      </c>
      <c r="I214" s="82">
        <v>10.74</v>
      </c>
      <c r="J214" s="82">
        <v>-1.27</v>
      </c>
      <c r="K214" s="82">
        <v>2.5299999999999998</v>
      </c>
      <c r="L214" s="81">
        <v>6</v>
      </c>
      <c r="M214" s="81">
        <v>1</v>
      </c>
      <c r="N214" s="81">
        <f>ROUND(_xlfn.XLOOKUP(B214,'CTE Data'!A:A,'CTE Data'!B:B,0)*H214,0)</f>
        <v>0</v>
      </c>
      <c r="O214" s="76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">
      <c r="A215" s="80" t="s">
        <v>304</v>
      </c>
      <c r="B215" s="80" t="s">
        <v>306</v>
      </c>
      <c r="C215" s="81">
        <v>0</v>
      </c>
      <c r="D215" s="81">
        <v>1441</v>
      </c>
      <c r="E215" s="81">
        <v>154</v>
      </c>
      <c r="F215" s="81">
        <v>38</v>
      </c>
      <c r="G215" s="81">
        <v>1</v>
      </c>
      <c r="H215" s="81">
        <v>1634</v>
      </c>
      <c r="I215" s="82">
        <v>124.72</v>
      </c>
      <c r="J215" s="82">
        <v>-27.64</v>
      </c>
      <c r="K215" s="82">
        <v>55.27</v>
      </c>
      <c r="L215" s="81">
        <v>384</v>
      </c>
      <c r="M215" s="81">
        <v>236</v>
      </c>
      <c r="N215" s="81">
        <f>ROUND(_xlfn.XLOOKUP(B215,'CTE Data'!A:A,'CTE Data'!B:B,0)*H215,0)</f>
        <v>1634</v>
      </c>
      <c r="O215" s="76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">
      <c r="A216" s="80" t="s">
        <v>304</v>
      </c>
      <c r="B216" s="80" t="s">
        <v>307</v>
      </c>
      <c r="C216" s="81">
        <v>0</v>
      </c>
      <c r="D216" s="81">
        <v>1004</v>
      </c>
      <c r="E216" s="81">
        <v>117</v>
      </c>
      <c r="F216" s="81">
        <v>17</v>
      </c>
      <c r="G216" s="81">
        <v>13</v>
      </c>
      <c r="H216" s="81">
        <v>1151</v>
      </c>
      <c r="I216" s="82">
        <v>91.07</v>
      </c>
      <c r="J216" s="82">
        <v>-19.11</v>
      </c>
      <c r="K216" s="82">
        <v>38.22</v>
      </c>
      <c r="L216" s="81">
        <v>294</v>
      </c>
      <c r="M216" s="81">
        <v>59</v>
      </c>
      <c r="N216" s="81">
        <f>ROUND(_xlfn.XLOOKUP(B216,'CTE Data'!A:A,'CTE Data'!B:B,0)*H216,0)</f>
        <v>1151</v>
      </c>
      <c r="O216" s="76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">
      <c r="A217" s="80" t="s">
        <v>304</v>
      </c>
      <c r="B217" s="80" t="s">
        <v>308</v>
      </c>
      <c r="C217" s="81">
        <v>0</v>
      </c>
      <c r="D217" s="81">
        <v>812</v>
      </c>
      <c r="E217" s="81">
        <v>71</v>
      </c>
      <c r="F217" s="81">
        <v>24</v>
      </c>
      <c r="G217" s="81">
        <v>6</v>
      </c>
      <c r="H217" s="81">
        <v>913</v>
      </c>
      <c r="I217" s="82">
        <v>70.83</v>
      </c>
      <c r="J217" s="82">
        <v>-15.48</v>
      </c>
      <c r="K217" s="82">
        <v>30.95</v>
      </c>
      <c r="L217" s="81">
        <v>361</v>
      </c>
      <c r="M217" s="81">
        <v>118</v>
      </c>
      <c r="N217" s="81">
        <f>ROUND(_xlfn.XLOOKUP(B217,'CTE Data'!A:A,'CTE Data'!B:B,0)*H217,0)</f>
        <v>913</v>
      </c>
      <c r="O217" s="76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">
      <c r="A218" s="80" t="s">
        <v>304</v>
      </c>
      <c r="B218" s="80" t="s">
        <v>309</v>
      </c>
      <c r="C218" s="81">
        <v>0</v>
      </c>
      <c r="D218" s="81">
        <v>1050</v>
      </c>
      <c r="E218" s="81">
        <v>115</v>
      </c>
      <c r="F218" s="81">
        <v>35</v>
      </c>
      <c r="G218" s="81">
        <v>4</v>
      </c>
      <c r="H218" s="81">
        <v>1204</v>
      </c>
      <c r="I218" s="82">
        <v>93.62</v>
      </c>
      <c r="J218" s="82">
        <v>-20.07</v>
      </c>
      <c r="K218" s="82">
        <v>40.130000000000003</v>
      </c>
      <c r="L218" s="81">
        <v>156</v>
      </c>
      <c r="M218" s="81">
        <v>23</v>
      </c>
      <c r="N218" s="81">
        <f>ROUND(_xlfn.XLOOKUP(B218,'CTE Data'!A:A,'CTE Data'!B:B,0)*H218,0)</f>
        <v>1204</v>
      </c>
      <c r="O218" s="76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85" customFormat="1" x14ac:dyDescent="0.2">
      <c r="A219" s="85" t="s">
        <v>304</v>
      </c>
      <c r="B219" s="85" t="s">
        <v>310</v>
      </c>
      <c r="C219" s="86">
        <v>0</v>
      </c>
      <c r="D219" s="86">
        <v>4307</v>
      </c>
      <c r="E219" s="86">
        <v>457</v>
      </c>
      <c r="F219" s="86">
        <v>134</v>
      </c>
      <c r="G219" s="86">
        <v>40</v>
      </c>
      <c r="H219" s="86">
        <v>4938</v>
      </c>
      <c r="I219" s="88">
        <v>391.01</v>
      </c>
      <c r="J219" s="88">
        <v>-83.55</v>
      </c>
      <c r="K219" s="88">
        <v>167.1</v>
      </c>
      <c r="L219" s="86">
        <v>1201</v>
      </c>
      <c r="M219" s="86">
        <v>437</v>
      </c>
      <c r="N219" s="86">
        <f>SUM(N214:N218)</f>
        <v>4902</v>
      </c>
      <c r="O219" s="88">
        <f>SUM(O214:O218)</f>
        <v>4</v>
      </c>
      <c r="P219" s="88">
        <f t="shared" ref="P219:R219" si="77">SUM(P214:P218)</f>
        <v>20</v>
      </c>
      <c r="Q219" s="88">
        <f t="shared" si="77"/>
        <v>78.195999999999998</v>
      </c>
      <c r="R219" s="88">
        <f t="shared" si="77"/>
        <v>44</v>
      </c>
      <c r="S219" s="87">
        <f t="shared" si="71"/>
        <v>1.79</v>
      </c>
      <c r="T219" s="87">
        <f t="shared" si="70"/>
        <v>4</v>
      </c>
      <c r="U219" s="87">
        <f>MAX(1,1+INT((I219-500)/500))</f>
        <v>1</v>
      </c>
    </row>
    <row r="220" spans="1:21" x14ac:dyDescent="0.2">
      <c r="A220" s="80" t="s">
        <v>415</v>
      </c>
      <c r="B220" s="80" t="s">
        <v>416</v>
      </c>
      <c r="C220" s="81">
        <v>668</v>
      </c>
      <c r="D220" s="81">
        <v>0</v>
      </c>
      <c r="E220" s="81">
        <v>27</v>
      </c>
      <c r="F220" s="81">
        <v>19</v>
      </c>
      <c r="G220" s="81">
        <v>20</v>
      </c>
      <c r="H220" s="81">
        <v>734</v>
      </c>
      <c r="I220" s="82">
        <v>55.3</v>
      </c>
      <c r="J220" s="82">
        <v>0</v>
      </c>
      <c r="K220" s="82">
        <v>0</v>
      </c>
      <c r="L220" s="81">
        <v>89</v>
      </c>
      <c r="M220" s="81">
        <v>30</v>
      </c>
      <c r="N220" s="81">
        <v>0</v>
      </c>
      <c r="O220" s="76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">
      <c r="A221" s="80" t="s">
        <v>415</v>
      </c>
      <c r="B221" s="80" t="s">
        <v>417</v>
      </c>
      <c r="C221" s="81">
        <v>207</v>
      </c>
      <c r="D221" s="81">
        <v>434</v>
      </c>
      <c r="E221" s="81">
        <v>67</v>
      </c>
      <c r="F221" s="81">
        <v>13</v>
      </c>
      <c r="G221" s="81">
        <v>12</v>
      </c>
      <c r="H221" s="81">
        <v>733</v>
      </c>
      <c r="I221" s="82">
        <v>49.24</v>
      </c>
      <c r="J221" s="82">
        <v>0</v>
      </c>
      <c r="K221" s="82">
        <v>0</v>
      </c>
      <c r="L221" s="81">
        <v>85</v>
      </c>
      <c r="M221" s="81">
        <v>12</v>
      </c>
      <c r="N221" s="81">
        <v>0</v>
      </c>
      <c r="O221" s="76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">
      <c r="A222" s="80" t="s">
        <v>415</v>
      </c>
      <c r="B222" s="80" t="s">
        <v>418</v>
      </c>
      <c r="C222" s="81">
        <v>0</v>
      </c>
      <c r="D222" s="81">
        <v>654</v>
      </c>
      <c r="E222" s="81">
        <v>68</v>
      </c>
      <c r="F222" s="81">
        <v>11</v>
      </c>
      <c r="G222" s="81">
        <v>8</v>
      </c>
      <c r="H222" s="81">
        <v>741</v>
      </c>
      <c r="I222" s="82">
        <v>45.71</v>
      </c>
      <c r="J222" s="82">
        <v>-0.68</v>
      </c>
      <c r="K222" s="82">
        <v>1.37</v>
      </c>
      <c r="L222" s="81">
        <v>64</v>
      </c>
      <c r="M222" s="81">
        <v>12</v>
      </c>
      <c r="N222" s="81">
        <v>93</v>
      </c>
      <c r="O222" s="76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">
      <c r="A223" s="80" t="s">
        <v>415</v>
      </c>
      <c r="B223" s="80" t="s">
        <v>419</v>
      </c>
      <c r="C223" s="81">
        <v>0</v>
      </c>
      <c r="D223" s="81">
        <v>863</v>
      </c>
      <c r="E223" s="81">
        <v>63</v>
      </c>
      <c r="F223" s="81">
        <v>16</v>
      </c>
      <c r="G223" s="81">
        <v>6</v>
      </c>
      <c r="H223" s="81">
        <v>948</v>
      </c>
      <c r="I223" s="82">
        <v>55.62</v>
      </c>
      <c r="J223" s="82">
        <v>-3.37</v>
      </c>
      <c r="K223" s="82">
        <v>6.72</v>
      </c>
      <c r="L223" s="81">
        <v>59</v>
      </c>
      <c r="M223" s="81">
        <v>14</v>
      </c>
      <c r="N223" s="81">
        <v>88</v>
      </c>
      <c r="O223" s="76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85" customFormat="1" x14ac:dyDescent="0.2">
      <c r="A224" s="85" t="s">
        <v>415</v>
      </c>
      <c r="B224" s="85" t="s">
        <v>415</v>
      </c>
      <c r="C224" s="86">
        <v>875</v>
      </c>
      <c r="D224" s="86">
        <v>1951</v>
      </c>
      <c r="E224" s="85">
        <v>225</v>
      </c>
      <c r="F224" s="86">
        <v>59</v>
      </c>
      <c r="G224" s="86">
        <v>46</v>
      </c>
      <c r="H224" s="86">
        <v>3156</v>
      </c>
      <c r="I224" s="87">
        <v>209.91</v>
      </c>
      <c r="J224" s="87">
        <v>-4.05</v>
      </c>
      <c r="K224" s="87">
        <v>8.09</v>
      </c>
      <c r="L224" s="86">
        <v>297</v>
      </c>
      <c r="M224" s="86">
        <v>68</v>
      </c>
      <c r="N224" s="86">
        <f>N223+N222+N221+N220</f>
        <v>181</v>
      </c>
      <c r="O224" s="88">
        <f>SUM(O220:O223)</f>
        <v>4</v>
      </c>
      <c r="P224" s="88">
        <f>SUM(P220:P223)</f>
        <v>8</v>
      </c>
      <c r="Q224" s="88">
        <f>SUM(Q220:Q223)</f>
        <v>41.174000000000007</v>
      </c>
      <c r="R224" s="88">
        <f>SUM(R220:R223)</f>
        <v>23</v>
      </c>
      <c r="S224" s="87">
        <f t="shared" si="71"/>
        <v>0</v>
      </c>
      <c r="T224" s="87">
        <f t="shared" si="70"/>
        <v>1</v>
      </c>
      <c r="U224" s="87">
        <f>MAX(1,1+INT((I224-500)/500))</f>
        <v>1</v>
      </c>
    </row>
    <row r="225" spans="1:21" x14ac:dyDescent="0.2">
      <c r="A225" s="80" t="s">
        <v>420</v>
      </c>
      <c r="B225" s="80" t="s">
        <v>421</v>
      </c>
      <c r="C225" s="81">
        <v>750</v>
      </c>
      <c r="D225" s="81">
        <v>0</v>
      </c>
      <c r="E225" s="80">
        <v>57</v>
      </c>
      <c r="F225" s="81">
        <v>22</v>
      </c>
      <c r="G225" s="81">
        <v>5</v>
      </c>
      <c r="H225" s="81">
        <v>834</v>
      </c>
      <c r="I225" s="83">
        <v>58.67</v>
      </c>
      <c r="J225" s="83">
        <v>0</v>
      </c>
      <c r="K225" s="83">
        <v>0</v>
      </c>
      <c r="L225" s="81">
        <v>172</v>
      </c>
      <c r="M225" s="81">
        <v>107</v>
      </c>
      <c r="N225" s="81">
        <v>0</v>
      </c>
      <c r="O225" s="76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">
      <c r="A226" s="80" t="s">
        <v>420</v>
      </c>
      <c r="B226" s="80" t="s">
        <v>422</v>
      </c>
      <c r="C226" s="81">
        <v>0</v>
      </c>
      <c r="D226" s="81">
        <v>349</v>
      </c>
      <c r="E226" s="80">
        <v>57</v>
      </c>
      <c r="F226" s="81">
        <v>9</v>
      </c>
      <c r="G226" s="81">
        <v>5</v>
      </c>
      <c r="H226" s="81">
        <v>420</v>
      </c>
      <c r="I226" s="83">
        <v>27.66</v>
      </c>
      <c r="J226" s="83">
        <v>0</v>
      </c>
      <c r="K226" s="83">
        <v>0</v>
      </c>
      <c r="L226" s="81">
        <v>83</v>
      </c>
      <c r="M226" s="81">
        <v>44</v>
      </c>
      <c r="N226" s="81">
        <v>0</v>
      </c>
      <c r="O226" s="76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">
      <c r="A227" s="80" t="s">
        <v>420</v>
      </c>
      <c r="B227" s="80" t="s">
        <v>423</v>
      </c>
      <c r="C227" s="81">
        <v>0</v>
      </c>
      <c r="D227" s="81">
        <v>581</v>
      </c>
      <c r="E227" s="80">
        <v>82</v>
      </c>
      <c r="F227" s="81">
        <v>18</v>
      </c>
      <c r="G227" s="81">
        <v>2</v>
      </c>
      <c r="H227" s="81">
        <v>683</v>
      </c>
      <c r="I227" s="83">
        <v>42.58</v>
      </c>
      <c r="J227" s="83">
        <v>0</v>
      </c>
      <c r="K227" s="83">
        <v>0</v>
      </c>
      <c r="L227" s="81">
        <v>139</v>
      </c>
      <c r="M227" s="81">
        <v>105</v>
      </c>
      <c r="N227" s="81">
        <v>34</v>
      </c>
      <c r="O227" s="76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">
      <c r="A228" s="80" t="s">
        <v>420</v>
      </c>
      <c r="B228" s="80" t="s">
        <v>424</v>
      </c>
      <c r="C228" s="81">
        <v>0</v>
      </c>
      <c r="D228" s="81">
        <v>389</v>
      </c>
      <c r="E228" s="80">
        <v>64</v>
      </c>
      <c r="F228" s="81">
        <v>7</v>
      </c>
      <c r="G228" s="81">
        <v>5</v>
      </c>
      <c r="H228" s="81">
        <v>465</v>
      </c>
      <c r="I228" s="83">
        <v>30.16</v>
      </c>
      <c r="J228" s="83">
        <v>-3.12</v>
      </c>
      <c r="K228" s="83">
        <v>6.24</v>
      </c>
      <c r="L228" s="81">
        <v>110</v>
      </c>
      <c r="M228" s="81">
        <v>76</v>
      </c>
      <c r="N228" s="81">
        <v>62</v>
      </c>
      <c r="O228" s="76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85" customFormat="1" x14ac:dyDescent="0.2">
      <c r="A229" s="85" t="s">
        <v>420</v>
      </c>
      <c r="B229" s="85" t="s">
        <v>420</v>
      </c>
      <c r="C229" s="86">
        <v>750</v>
      </c>
      <c r="D229" s="86">
        <v>1319</v>
      </c>
      <c r="E229" s="85">
        <v>260</v>
      </c>
      <c r="F229" s="86">
        <v>56</v>
      </c>
      <c r="G229" s="86">
        <v>17</v>
      </c>
      <c r="H229" s="86">
        <v>2402</v>
      </c>
      <c r="I229" s="87">
        <v>162.19</v>
      </c>
      <c r="J229" s="87">
        <v>-3.12</v>
      </c>
      <c r="K229" s="87">
        <v>6.24</v>
      </c>
      <c r="L229" s="86">
        <v>504</v>
      </c>
      <c r="M229" s="86">
        <v>332</v>
      </c>
      <c r="N229" s="86">
        <f>N228+N227+N226+N225</f>
        <v>96</v>
      </c>
      <c r="O229" s="88">
        <f>SUM(O225:O228)</f>
        <v>4</v>
      </c>
      <c r="P229" s="88">
        <f>SUM(P225:P228)</f>
        <v>7</v>
      </c>
      <c r="Q229" s="88">
        <f>SUM(Q225:Q228)</f>
        <v>31.814000000000004</v>
      </c>
      <c r="R229" s="88">
        <f>SUM(R225:R228)</f>
        <v>18</v>
      </c>
      <c r="S229" s="87">
        <f t="shared" si="71"/>
        <v>0</v>
      </c>
      <c r="T229" s="87">
        <f t="shared" si="78"/>
        <v>1</v>
      </c>
      <c r="U229" s="87">
        <f>MAX(1,1+INT((I229-500)/500))</f>
        <v>1</v>
      </c>
    </row>
    <row r="230" spans="1:21" x14ac:dyDescent="0.2">
      <c r="A230" s="80" t="s">
        <v>311</v>
      </c>
      <c r="B230" s="80" t="s">
        <v>312</v>
      </c>
      <c r="C230" s="81">
        <v>0</v>
      </c>
      <c r="D230" s="81">
        <v>1084</v>
      </c>
      <c r="E230" s="81">
        <v>144</v>
      </c>
      <c r="F230" s="81">
        <v>18</v>
      </c>
      <c r="G230" s="81">
        <v>6</v>
      </c>
      <c r="H230" s="81">
        <v>1252</v>
      </c>
      <c r="I230" s="82">
        <v>97.51</v>
      </c>
      <c r="J230" s="82">
        <v>-20.87</v>
      </c>
      <c r="K230" s="82">
        <v>41.73</v>
      </c>
      <c r="L230" s="81">
        <v>196</v>
      </c>
      <c r="M230" s="81">
        <v>24</v>
      </c>
      <c r="N230" s="81">
        <f>ROUND(_xlfn.XLOOKUP(B230,'CTE Data'!A:A,'CTE Data'!B:B,0)*H230,0)</f>
        <v>1252</v>
      </c>
      <c r="O230" s="76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85" customFormat="1" x14ac:dyDescent="0.2">
      <c r="A231" s="85" t="s">
        <v>311</v>
      </c>
      <c r="B231" s="85" t="s">
        <v>313</v>
      </c>
      <c r="C231" s="86">
        <v>0</v>
      </c>
      <c r="D231" s="86">
        <v>1084</v>
      </c>
      <c r="E231" s="86">
        <v>144</v>
      </c>
      <c r="F231" s="86">
        <v>18</v>
      </c>
      <c r="G231" s="86">
        <v>6</v>
      </c>
      <c r="H231" s="86">
        <v>1252</v>
      </c>
      <c r="I231" s="88">
        <v>97.51</v>
      </c>
      <c r="J231" s="88">
        <v>-20.87</v>
      </c>
      <c r="K231" s="88">
        <v>41.73</v>
      </c>
      <c r="L231" s="86">
        <v>196</v>
      </c>
      <c r="M231" s="86">
        <v>24</v>
      </c>
      <c r="N231" s="86">
        <f>N230</f>
        <v>1252</v>
      </c>
      <c r="O231" s="88">
        <v>1</v>
      </c>
      <c r="P231" s="87">
        <f>ROUNDDOWN(IF(I231+Q231+R231&lt;15,0,IF(I231+Q231+R231&lt;25,0,IF(I231+Q231+R231&lt;30,0.65,IF(I231+Q231+R231&lt;50,1,IF(I231+Q231+R231&lt;55,1.65,2+(I231+Q231+R231-55)/20))))),0)</f>
        <v>5</v>
      </c>
      <c r="Q231" s="87">
        <f>I231*0.2</f>
        <v>19.502000000000002</v>
      </c>
      <c r="R231" s="87">
        <f>ROUNDDOWN(IF(I231+O231+Q231&lt;100,INT((I231+O231+Q231)/10),10+INT(((I231+O231+Q231)-100)/12)),0)</f>
        <v>11</v>
      </c>
      <c r="S231" s="87">
        <f t="shared" si="71"/>
        <v>0</v>
      </c>
      <c r="T231" s="87">
        <f t="shared" si="78"/>
        <v>0</v>
      </c>
      <c r="U231" s="87">
        <f>MAX(1,1+INT((I231-500)/500))</f>
        <v>1</v>
      </c>
    </row>
    <row r="232" spans="1:21" x14ac:dyDescent="0.2">
      <c r="A232" s="80" t="s">
        <v>425</v>
      </c>
      <c r="B232" s="80" t="s">
        <v>426</v>
      </c>
      <c r="C232" s="81">
        <v>0</v>
      </c>
      <c r="D232" s="81">
        <v>15</v>
      </c>
      <c r="E232" s="81">
        <v>7</v>
      </c>
      <c r="F232" s="81">
        <v>5</v>
      </c>
      <c r="G232" s="81">
        <v>5</v>
      </c>
      <c r="H232" s="81">
        <v>32</v>
      </c>
      <c r="I232" s="82">
        <v>4.34</v>
      </c>
      <c r="J232" s="82">
        <v>0</v>
      </c>
      <c r="K232" s="82">
        <v>0</v>
      </c>
      <c r="L232" s="81">
        <v>15</v>
      </c>
      <c r="M232" s="81">
        <v>0</v>
      </c>
      <c r="N232" s="81">
        <v>0</v>
      </c>
      <c r="O232" s="76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">
      <c r="A233" s="80" t="s">
        <v>425</v>
      </c>
      <c r="B233" s="80" t="s">
        <v>427</v>
      </c>
      <c r="C233" s="81">
        <v>0</v>
      </c>
      <c r="D233" s="81">
        <v>35</v>
      </c>
      <c r="E233" s="81">
        <v>20</v>
      </c>
      <c r="F233" s="81">
        <v>12</v>
      </c>
      <c r="G233" s="81">
        <v>18</v>
      </c>
      <c r="H233" s="81">
        <v>85</v>
      </c>
      <c r="I233" s="82">
        <v>13.05</v>
      </c>
      <c r="J233" s="82">
        <v>-0.32</v>
      </c>
      <c r="K233" s="82">
        <v>0.64</v>
      </c>
      <c r="L233" s="81">
        <v>70</v>
      </c>
      <c r="M233" s="81">
        <v>0</v>
      </c>
      <c r="N233" s="81">
        <v>4</v>
      </c>
      <c r="O233" s="76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85" customFormat="1" x14ac:dyDescent="0.2">
      <c r="A234" s="85" t="s">
        <v>425</v>
      </c>
      <c r="B234" s="85" t="s">
        <v>425</v>
      </c>
      <c r="C234" s="86">
        <v>0</v>
      </c>
      <c r="D234" s="86">
        <v>50</v>
      </c>
      <c r="E234" s="85">
        <v>27</v>
      </c>
      <c r="F234" s="86">
        <v>17</v>
      </c>
      <c r="G234" s="86">
        <v>23</v>
      </c>
      <c r="H234" s="86">
        <v>117</v>
      </c>
      <c r="I234" s="87">
        <v>17.71</v>
      </c>
      <c r="J234" s="87">
        <v>-0.32</v>
      </c>
      <c r="K234" s="87">
        <v>0.64</v>
      </c>
      <c r="L234" s="86">
        <v>56</v>
      </c>
      <c r="M234" s="86">
        <v>0</v>
      </c>
      <c r="N234" s="86">
        <f>N233+N232</f>
        <v>4</v>
      </c>
      <c r="O234" s="88">
        <f>SUM(O232:O233)</f>
        <v>2</v>
      </c>
      <c r="P234" s="88">
        <f t="shared" ref="P234" si="79">SUM(P232:P233)</f>
        <v>0</v>
      </c>
      <c r="Q234" s="88">
        <f t="shared" ref="Q234" si="80">SUM(Q232:Q233)</f>
        <v>3.4780000000000002</v>
      </c>
      <c r="R234" s="88">
        <f t="shared" ref="R234" si="81">SUM(R232:R233)</f>
        <v>1</v>
      </c>
      <c r="S234" s="87">
        <f t="shared" si="71"/>
        <v>0</v>
      </c>
      <c r="T234" s="87">
        <f t="shared" si="78"/>
        <v>0</v>
      </c>
      <c r="U234" s="87">
        <f>MAX(1,1+INT((I234-500)/500))</f>
        <v>1</v>
      </c>
    </row>
    <row r="235" spans="1:21" x14ac:dyDescent="0.2">
      <c r="A235" s="80" t="s">
        <v>428</v>
      </c>
      <c r="B235" s="80" t="s">
        <v>429</v>
      </c>
      <c r="C235" s="81">
        <v>361</v>
      </c>
      <c r="D235" s="81">
        <v>131</v>
      </c>
      <c r="E235" s="80">
        <v>52</v>
      </c>
      <c r="F235" s="81">
        <v>6</v>
      </c>
      <c r="G235" s="81">
        <v>6</v>
      </c>
      <c r="H235" s="81">
        <v>556</v>
      </c>
      <c r="I235" s="83">
        <v>38.32</v>
      </c>
      <c r="J235" s="83">
        <v>0</v>
      </c>
      <c r="K235" s="83">
        <v>0</v>
      </c>
      <c r="L235" s="81">
        <v>84</v>
      </c>
      <c r="M235" s="81">
        <v>9</v>
      </c>
      <c r="N235" s="81">
        <v>0</v>
      </c>
      <c r="O235" s="76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">
      <c r="A236" s="80" t="s">
        <v>428</v>
      </c>
      <c r="B236" s="80" t="s">
        <v>430</v>
      </c>
      <c r="C236" s="81">
        <v>0</v>
      </c>
      <c r="D236" s="81">
        <v>182</v>
      </c>
      <c r="E236" s="80">
        <v>39</v>
      </c>
      <c r="F236" s="81">
        <v>8</v>
      </c>
      <c r="G236" s="81">
        <v>1</v>
      </c>
      <c r="H236" s="81">
        <v>230</v>
      </c>
      <c r="I236" s="83">
        <v>15.46</v>
      </c>
      <c r="J236" s="83">
        <v>-0.17</v>
      </c>
      <c r="K236" s="83">
        <v>0.34</v>
      </c>
      <c r="L236" s="81">
        <v>42</v>
      </c>
      <c r="M236" s="81">
        <v>5</v>
      </c>
      <c r="N236" s="81">
        <v>9</v>
      </c>
      <c r="O236" s="76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85" customFormat="1" x14ac:dyDescent="0.2">
      <c r="A237" s="85" t="s">
        <v>428</v>
      </c>
      <c r="B237" s="85" t="s">
        <v>428</v>
      </c>
      <c r="C237" s="86">
        <v>361</v>
      </c>
      <c r="D237" s="86">
        <v>313</v>
      </c>
      <c r="E237" s="85">
        <v>91</v>
      </c>
      <c r="F237" s="86">
        <v>14</v>
      </c>
      <c r="G237" s="86">
        <v>7</v>
      </c>
      <c r="H237" s="86">
        <v>786</v>
      </c>
      <c r="I237" s="87">
        <v>53.95</v>
      </c>
      <c r="J237" s="87">
        <v>-0.17</v>
      </c>
      <c r="K237" s="87">
        <v>0.34</v>
      </c>
      <c r="L237" s="86">
        <v>126</v>
      </c>
      <c r="M237" s="86">
        <v>14</v>
      </c>
      <c r="N237" s="86">
        <f>N236+N235</f>
        <v>9</v>
      </c>
      <c r="O237" s="88">
        <f>SUM(O235:O236)</f>
        <v>2</v>
      </c>
      <c r="P237" s="88">
        <f t="shared" ref="P237" si="82">SUM(P235:P236)</f>
        <v>1</v>
      </c>
      <c r="Q237" s="88">
        <f t="shared" ref="Q237" si="83">SUM(Q235:Q236)</f>
        <v>10.756</v>
      </c>
      <c r="R237" s="88">
        <f t="shared" ref="R237" si="84">SUM(R235:R236)</f>
        <v>5</v>
      </c>
      <c r="S237" s="87">
        <f t="shared" si="71"/>
        <v>0</v>
      </c>
      <c r="T237" s="87">
        <f t="shared" si="78"/>
        <v>0</v>
      </c>
      <c r="U237" s="87">
        <f>MAX(1,1+INT((I237-500)/500))</f>
        <v>1</v>
      </c>
    </row>
    <row r="238" spans="1:21" x14ac:dyDescent="0.2">
      <c r="A238" s="80" t="s">
        <v>314</v>
      </c>
      <c r="B238" s="80" t="s">
        <v>315</v>
      </c>
      <c r="C238" s="81">
        <v>273</v>
      </c>
      <c r="D238" s="81">
        <v>146</v>
      </c>
      <c r="E238" s="80">
        <v>58</v>
      </c>
      <c r="F238" s="81">
        <v>26</v>
      </c>
      <c r="G238" s="81">
        <v>19</v>
      </c>
      <c r="H238" s="81">
        <v>522</v>
      </c>
      <c r="I238" s="82">
        <v>42.69</v>
      </c>
      <c r="J238" s="82">
        <v>0</v>
      </c>
      <c r="K238" s="82">
        <v>0</v>
      </c>
      <c r="L238" s="81">
        <v>219</v>
      </c>
      <c r="M238" s="81">
        <v>164</v>
      </c>
      <c r="N238" s="81">
        <f>ROUND(_xlfn.XLOOKUP(B238,'CTE Data'!A:A,'CTE Data'!B:B,0)*H238,0)</f>
        <v>0</v>
      </c>
      <c r="O238" s="76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">
      <c r="A239" s="80" t="s">
        <v>314</v>
      </c>
      <c r="B239" s="80" t="s">
        <v>316</v>
      </c>
      <c r="C239" s="81">
        <v>385</v>
      </c>
      <c r="D239" s="81">
        <v>433</v>
      </c>
      <c r="E239" s="80">
        <v>113</v>
      </c>
      <c r="F239" s="81">
        <v>25</v>
      </c>
      <c r="G239" s="81">
        <v>27</v>
      </c>
      <c r="H239" s="81">
        <v>983</v>
      </c>
      <c r="I239" s="82">
        <v>73.78</v>
      </c>
      <c r="J239" s="82">
        <v>-0.36</v>
      </c>
      <c r="K239" s="82">
        <v>0.72</v>
      </c>
      <c r="L239" s="81">
        <v>140</v>
      </c>
      <c r="M239" s="81">
        <v>75</v>
      </c>
      <c r="N239" s="81">
        <f>ROUND(_xlfn.XLOOKUP(B239,'CTE Data'!A:A,'CTE Data'!B:B,0)*H239,0)</f>
        <v>59</v>
      </c>
      <c r="O239" s="76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">
      <c r="A240" s="80" t="s">
        <v>314</v>
      </c>
      <c r="B240" s="80" t="s">
        <v>317</v>
      </c>
      <c r="C240" s="81">
        <v>0</v>
      </c>
      <c r="D240" s="81">
        <v>848</v>
      </c>
      <c r="E240" s="81">
        <v>71</v>
      </c>
      <c r="F240" s="81">
        <v>16</v>
      </c>
      <c r="G240" s="81">
        <v>6</v>
      </c>
      <c r="H240" s="81">
        <v>941</v>
      </c>
      <c r="I240" s="82">
        <v>57</v>
      </c>
      <c r="J240" s="82">
        <v>-1.17</v>
      </c>
      <c r="K240" s="82">
        <v>2.34</v>
      </c>
      <c r="L240" s="81">
        <v>92</v>
      </c>
      <c r="M240" s="81">
        <v>19</v>
      </c>
      <c r="N240" s="81">
        <f>ROUND(_xlfn.XLOOKUP(B240,'CTE Data'!A:A,'CTE Data'!B:B,0)*H240,0)</f>
        <v>33</v>
      </c>
      <c r="O240" s="76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">
      <c r="A241" s="80" t="s">
        <v>314</v>
      </c>
      <c r="B241" s="80" t="s">
        <v>318</v>
      </c>
      <c r="C241" s="81">
        <v>0</v>
      </c>
      <c r="D241" s="81">
        <v>1087</v>
      </c>
      <c r="E241" s="81">
        <v>70</v>
      </c>
      <c r="F241" s="81">
        <v>5</v>
      </c>
      <c r="G241" s="81">
        <v>1</v>
      </c>
      <c r="H241" s="81">
        <v>1163</v>
      </c>
      <c r="I241" s="82">
        <v>69.209999999999994</v>
      </c>
      <c r="J241" s="82">
        <v>-5.33</v>
      </c>
      <c r="K241" s="82">
        <v>10.65</v>
      </c>
      <c r="L241" s="81">
        <v>172</v>
      </c>
      <c r="M241" s="81">
        <v>52</v>
      </c>
      <c r="N241" s="81">
        <f>ROUND(_xlfn.XLOOKUP(B241,'CTE Data'!A:A,'CTE Data'!B:B,0)*H241,0)</f>
        <v>186</v>
      </c>
      <c r="O241" s="76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">
      <c r="A242" s="80" t="s">
        <v>314</v>
      </c>
      <c r="B242" s="80" t="s">
        <v>319</v>
      </c>
      <c r="C242" s="81">
        <v>0</v>
      </c>
      <c r="D242" s="81">
        <v>807</v>
      </c>
      <c r="E242" s="80">
        <v>165</v>
      </c>
      <c r="F242" s="81">
        <v>37</v>
      </c>
      <c r="G242" s="81">
        <v>21</v>
      </c>
      <c r="H242" s="81">
        <v>1030</v>
      </c>
      <c r="I242" s="82">
        <v>78.680000000000007</v>
      </c>
      <c r="J242" s="82">
        <v>-4.4400000000000004</v>
      </c>
      <c r="K242" s="82">
        <v>8.8800000000000008</v>
      </c>
      <c r="L242" s="81">
        <v>286</v>
      </c>
      <c r="M242" s="81">
        <v>224</v>
      </c>
      <c r="N242" s="81">
        <f>ROUND(_xlfn.XLOOKUP(B242,'CTE Data'!A:A,'CTE Data'!B:B,0)*H242,0)</f>
        <v>127</v>
      </c>
      <c r="O242" s="76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">
      <c r="A243" s="80" t="s">
        <v>314</v>
      </c>
      <c r="B243" s="80" t="s">
        <v>320</v>
      </c>
      <c r="C243" s="81">
        <v>0</v>
      </c>
      <c r="D243" s="81">
        <v>366</v>
      </c>
      <c r="E243" s="81">
        <v>146</v>
      </c>
      <c r="F243" s="81">
        <v>22</v>
      </c>
      <c r="G243" s="81">
        <v>9</v>
      </c>
      <c r="H243" s="81">
        <v>543</v>
      </c>
      <c r="I243" s="82">
        <v>45.79</v>
      </c>
      <c r="J243" s="82">
        <v>-2.99</v>
      </c>
      <c r="K243" s="82">
        <v>5.97</v>
      </c>
      <c r="L243" s="81">
        <v>253</v>
      </c>
      <c r="M243" s="81">
        <v>122</v>
      </c>
      <c r="N243" s="81">
        <f>ROUND(_xlfn.XLOOKUP(B243,'CTE Data'!A:A,'CTE Data'!B:B,0)*H243,0)</f>
        <v>85</v>
      </c>
      <c r="O243" s="76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">
      <c r="A244" s="80" t="s">
        <v>314</v>
      </c>
      <c r="B244" s="80" t="s">
        <v>321</v>
      </c>
      <c r="C244" s="81">
        <v>0</v>
      </c>
      <c r="D244" s="81">
        <v>309</v>
      </c>
      <c r="E244" s="81">
        <v>73</v>
      </c>
      <c r="F244" s="81">
        <v>22</v>
      </c>
      <c r="G244" s="81">
        <v>7</v>
      </c>
      <c r="H244" s="81">
        <v>411</v>
      </c>
      <c r="I244" s="82">
        <v>31.6</v>
      </c>
      <c r="J244" s="82">
        <v>-1.1000000000000001</v>
      </c>
      <c r="K244" s="82">
        <v>2.2000000000000002</v>
      </c>
      <c r="L244" s="81">
        <v>186</v>
      </c>
      <c r="M244" s="81">
        <v>97</v>
      </c>
      <c r="N244" s="81">
        <f>ROUND(_xlfn.XLOOKUP(B244,'CTE Data'!A:A,'CTE Data'!B:B,0)*H244,0)</f>
        <v>37</v>
      </c>
      <c r="O244" s="76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">
      <c r="A245" s="80" t="s">
        <v>314</v>
      </c>
      <c r="B245" s="80" t="s">
        <v>322</v>
      </c>
      <c r="C245" s="81">
        <v>0</v>
      </c>
      <c r="D245" s="81">
        <v>648</v>
      </c>
      <c r="E245" s="80">
        <v>98</v>
      </c>
      <c r="F245" s="81">
        <v>21</v>
      </c>
      <c r="G245" s="81">
        <v>8</v>
      </c>
      <c r="H245" s="81">
        <v>775</v>
      </c>
      <c r="I245" s="82">
        <v>52.19</v>
      </c>
      <c r="J245" s="82">
        <v>-1.55</v>
      </c>
      <c r="K245" s="82">
        <v>3.09</v>
      </c>
      <c r="L245" s="81">
        <v>131</v>
      </c>
      <c r="M245" s="81">
        <v>55</v>
      </c>
      <c r="N245" s="81">
        <f>ROUND(_xlfn.XLOOKUP(B245,'CTE Data'!A:A,'CTE Data'!B:B,0)*H245,0)</f>
        <v>58</v>
      </c>
      <c r="O245" s="76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">
      <c r="A246" s="80" t="s">
        <v>314</v>
      </c>
      <c r="B246" s="80" t="s">
        <v>323</v>
      </c>
      <c r="C246" s="81">
        <v>0</v>
      </c>
      <c r="D246" s="81">
        <v>1</v>
      </c>
      <c r="E246" s="81">
        <v>0</v>
      </c>
      <c r="F246" s="81">
        <v>0</v>
      </c>
      <c r="G246" s="81">
        <v>18</v>
      </c>
      <c r="H246" s="81">
        <v>19</v>
      </c>
      <c r="I246" s="82">
        <v>6.97</v>
      </c>
      <c r="J246" s="82">
        <v>0</v>
      </c>
      <c r="K246" s="82">
        <v>0</v>
      </c>
      <c r="L246" s="81">
        <v>14</v>
      </c>
      <c r="M246" s="81">
        <v>2</v>
      </c>
      <c r="N246" s="81">
        <f>ROUND(_xlfn.XLOOKUP(B246,'CTE Data'!A:A,'CTE Data'!B:B,0)*H246,0)</f>
        <v>0</v>
      </c>
      <c r="O246" s="76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">
      <c r="A247" s="80" t="s">
        <v>314</v>
      </c>
      <c r="B247" s="80" t="s">
        <v>324</v>
      </c>
      <c r="C247" s="81">
        <v>252</v>
      </c>
      <c r="D247" s="81">
        <v>120</v>
      </c>
      <c r="E247" s="81">
        <v>43</v>
      </c>
      <c r="F247" s="81">
        <v>14</v>
      </c>
      <c r="G247" s="81">
        <v>7</v>
      </c>
      <c r="H247" s="81">
        <v>436</v>
      </c>
      <c r="I247" s="82">
        <v>31.7</v>
      </c>
      <c r="J247" s="82">
        <v>0</v>
      </c>
      <c r="K247" s="82">
        <v>0</v>
      </c>
      <c r="L247" s="81">
        <v>142</v>
      </c>
      <c r="M247" s="81">
        <v>189</v>
      </c>
      <c r="N247" s="81">
        <f>ROUND(_xlfn.XLOOKUP(B247,'CTE Data'!A:A,'CTE Data'!B:B,0)*H247,0)</f>
        <v>0</v>
      </c>
      <c r="O247" s="76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">
      <c r="A248" s="80" t="s">
        <v>314</v>
      </c>
      <c r="B248" s="80" t="s">
        <v>325</v>
      </c>
      <c r="C248" s="81">
        <v>244</v>
      </c>
      <c r="D248" s="81">
        <v>132</v>
      </c>
      <c r="E248" s="80">
        <v>60</v>
      </c>
      <c r="F248" s="81">
        <v>21</v>
      </c>
      <c r="G248" s="81">
        <v>29</v>
      </c>
      <c r="H248" s="81">
        <v>486</v>
      </c>
      <c r="I248" s="82">
        <v>43.45</v>
      </c>
      <c r="J248" s="82">
        <v>0</v>
      </c>
      <c r="K248" s="82">
        <v>0</v>
      </c>
      <c r="L248" s="81">
        <v>84</v>
      </c>
      <c r="M248" s="81">
        <v>24</v>
      </c>
      <c r="N248" s="81">
        <f>ROUND(_xlfn.XLOOKUP(B248,'CTE Data'!A:A,'CTE Data'!B:B,0)*H248,0)</f>
        <v>0</v>
      </c>
      <c r="O248" s="76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">
      <c r="A249" s="80" t="s">
        <v>314</v>
      </c>
      <c r="B249" s="80" t="s">
        <v>326</v>
      </c>
      <c r="C249" s="81">
        <v>131</v>
      </c>
      <c r="D249" s="81">
        <v>58</v>
      </c>
      <c r="E249" s="81">
        <v>26</v>
      </c>
      <c r="F249" s="81">
        <v>8</v>
      </c>
      <c r="G249" s="81">
        <v>5</v>
      </c>
      <c r="H249" s="81">
        <v>228</v>
      </c>
      <c r="I249" s="82">
        <v>17.34</v>
      </c>
      <c r="J249" s="82">
        <v>0</v>
      </c>
      <c r="K249" s="82">
        <v>0</v>
      </c>
      <c r="L249" s="81">
        <v>167</v>
      </c>
      <c r="M249" s="81">
        <v>11</v>
      </c>
      <c r="N249" s="81">
        <f>ROUND(_xlfn.XLOOKUP(B249,'CTE Data'!A:A,'CTE Data'!B:B,0)*H249,0)</f>
        <v>0</v>
      </c>
      <c r="O249" s="76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">
      <c r="A250" s="80" t="s">
        <v>314</v>
      </c>
      <c r="B250" s="80" t="s">
        <v>327</v>
      </c>
      <c r="C250" s="81">
        <v>207</v>
      </c>
      <c r="D250" s="81">
        <v>81</v>
      </c>
      <c r="E250" s="81">
        <v>47</v>
      </c>
      <c r="F250" s="81">
        <v>10</v>
      </c>
      <c r="G250" s="81">
        <v>10</v>
      </c>
      <c r="H250" s="81">
        <v>355</v>
      </c>
      <c r="I250" s="82">
        <v>27.95</v>
      </c>
      <c r="J250" s="82">
        <v>0</v>
      </c>
      <c r="K250" s="82">
        <v>0</v>
      </c>
      <c r="L250" s="81">
        <v>180</v>
      </c>
      <c r="M250" s="81">
        <v>126</v>
      </c>
      <c r="N250" s="81">
        <f>ROUND(_xlfn.XLOOKUP(B250,'CTE Data'!A:A,'CTE Data'!B:B,0)*H250,0)</f>
        <v>0</v>
      </c>
      <c r="O250" s="76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">
      <c r="A251" s="80" t="s">
        <v>314</v>
      </c>
      <c r="B251" s="80" t="s">
        <v>328</v>
      </c>
      <c r="C251" s="81">
        <v>291</v>
      </c>
      <c r="D251" s="81">
        <v>171</v>
      </c>
      <c r="E251" s="81">
        <v>31</v>
      </c>
      <c r="F251" s="81">
        <v>8</v>
      </c>
      <c r="G251" s="81">
        <v>16</v>
      </c>
      <c r="H251" s="81">
        <v>517</v>
      </c>
      <c r="I251" s="82">
        <v>37.68</v>
      </c>
      <c r="J251" s="82">
        <v>0</v>
      </c>
      <c r="K251" s="82">
        <v>0</v>
      </c>
      <c r="L251" s="81">
        <v>63</v>
      </c>
      <c r="M251" s="81">
        <v>77</v>
      </c>
      <c r="N251" s="81">
        <f>ROUND(_xlfn.XLOOKUP(B251,'CTE Data'!A:A,'CTE Data'!B:B,0)*H251,0)</f>
        <v>0</v>
      </c>
      <c r="O251" s="76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">
      <c r="A252" s="80" t="s">
        <v>314</v>
      </c>
      <c r="B252" s="80" t="s">
        <v>329</v>
      </c>
      <c r="C252" s="81">
        <v>272</v>
      </c>
      <c r="D252" s="81">
        <v>119</v>
      </c>
      <c r="E252" s="81">
        <v>44</v>
      </c>
      <c r="F252" s="81">
        <v>22</v>
      </c>
      <c r="G252" s="81">
        <v>33</v>
      </c>
      <c r="H252" s="81">
        <v>490</v>
      </c>
      <c r="I252" s="82">
        <v>44.34</v>
      </c>
      <c r="J252" s="82">
        <v>0</v>
      </c>
      <c r="K252" s="82">
        <v>0</v>
      </c>
      <c r="L252" s="81">
        <v>147</v>
      </c>
      <c r="M252" s="81">
        <v>126</v>
      </c>
      <c r="N252" s="81">
        <f>ROUND(_xlfn.XLOOKUP(B252,'CTE Data'!A:A,'CTE Data'!B:B,0)*H252,0)</f>
        <v>0</v>
      </c>
      <c r="O252" s="76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">
      <c r="A253" s="80" t="s">
        <v>314</v>
      </c>
      <c r="B253" s="80" t="s">
        <v>330</v>
      </c>
      <c r="C253" s="81">
        <v>0</v>
      </c>
      <c r="D253" s="81">
        <v>643</v>
      </c>
      <c r="E253" s="81">
        <v>124</v>
      </c>
      <c r="F253" s="81">
        <v>108</v>
      </c>
      <c r="G253" s="81">
        <v>42</v>
      </c>
      <c r="H253" s="81">
        <v>917</v>
      </c>
      <c r="I253" s="82">
        <v>86.55</v>
      </c>
      <c r="J253" s="82">
        <v>-5.5</v>
      </c>
      <c r="K253" s="82">
        <v>10.99</v>
      </c>
      <c r="L253" s="81">
        <v>321</v>
      </c>
      <c r="M253" s="81">
        <v>231</v>
      </c>
      <c r="N253" s="81">
        <f>ROUND(_xlfn.XLOOKUP(B253,'CTE Data'!A:A,'CTE Data'!B:B,0)*H253,0)</f>
        <v>176</v>
      </c>
      <c r="O253" s="76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">
      <c r="A254" s="80" t="s">
        <v>314</v>
      </c>
      <c r="B254" s="80" t="s">
        <v>331</v>
      </c>
      <c r="C254" s="81">
        <v>0</v>
      </c>
      <c r="D254" s="81">
        <v>0</v>
      </c>
      <c r="E254" s="80">
        <v>0</v>
      </c>
      <c r="F254" s="81">
        <v>6</v>
      </c>
      <c r="G254" s="81">
        <v>150</v>
      </c>
      <c r="H254" s="81">
        <v>156</v>
      </c>
      <c r="I254" s="82">
        <v>60.24</v>
      </c>
      <c r="J254" s="82">
        <v>-1.55</v>
      </c>
      <c r="K254" s="82">
        <v>3.1</v>
      </c>
      <c r="L254" s="81">
        <v>39</v>
      </c>
      <c r="M254" s="81">
        <v>1</v>
      </c>
      <c r="N254" s="81">
        <f>ROUND(_xlfn.XLOOKUP(B254,'CTE Data'!A:A,'CTE Data'!B:B,0)*H254,0)</f>
        <v>0</v>
      </c>
      <c r="O254" s="76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">
      <c r="A255" s="80" t="s">
        <v>314</v>
      </c>
      <c r="B255" s="80" t="s">
        <v>332</v>
      </c>
      <c r="C255" s="81">
        <v>155</v>
      </c>
      <c r="D255" s="81">
        <v>46</v>
      </c>
      <c r="E255" s="80">
        <v>30</v>
      </c>
      <c r="F255" s="81">
        <v>23</v>
      </c>
      <c r="G255" s="81">
        <v>45</v>
      </c>
      <c r="H255" s="81">
        <v>299</v>
      </c>
      <c r="I255" s="82">
        <v>36.58</v>
      </c>
      <c r="J255" s="82">
        <v>0</v>
      </c>
      <c r="K255" s="82">
        <v>0</v>
      </c>
      <c r="L255" s="81">
        <v>106</v>
      </c>
      <c r="M255" s="81">
        <v>93</v>
      </c>
      <c r="N255" s="81">
        <f>ROUND(_xlfn.XLOOKUP(B255,'CTE Data'!A:A,'CTE Data'!B:B,0)*H255,0)</f>
        <v>0</v>
      </c>
      <c r="O255" s="76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">
      <c r="A256" s="80" t="s">
        <v>314</v>
      </c>
      <c r="B256" s="80" t="s">
        <v>333</v>
      </c>
      <c r="C256" s="81">
        <v>348</v>
      </c>
      <c r="D256" s="81">
        <v>176</v>
      </c>
      <c r="E256" s="81">
        <v>26</v>
      </c>
      <c r="F256" s="81">
        <v>11</v>
      </c>
      <c r="G256" s="81">
        <v>21</v>
      </c>
      <c r="H256" s="81">
        <v>582</v>
      </c>
      <c r="I256" s="82">
        <v>43.29</v>
      </c>
      <c r="J256" s="82">
        <v>0</v>
      </c>
      <c r="K256" s="82">
        <v>0</v>
      </c>
      <c r="L256" s="81">
        <v>26</v>
      </c>
      <c r="M256" s="81">
        <v>33</v>
      </c>
      <c r="N256" s="81">
        <f>ROUND(_xlfn.XLOOKUP(B256,'CTE Data'!A:A,'CTE Data'!B:B,0)*H256,0)</f>
        <v>0</v>
      </c>
      <c r="O256" s="76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">
      <c r="A257" s="80" t="s">
        <v>314</v>
      </c>
      <c r="B257" s="80" t="s">
        <v>334</v>
      </c>
      <c r="C257" s="81">
        <v>0</v>
      </c>
      <c r="D257" s="81">
        <v>0</v>
      </c>
      <c r="E257" s="81">
        <v>128</v>
      </c>
      <c r="F257" s="81">
        <v>78</v>
      </c>
      <c r="G257" s="81">
        <v>152</v>
      </c>
      <c r="H257" s="81">
        <v>358</v>
      </c>
      <c r="I257" s="82">
        <v>86.7</v>
      </c>
      <c r="J257" s="82">
        <v>0</v>
      </c>
      <c r="K257" s="82">
        <v>0</v>
      </c>
      <c r="L257" s="81">
        <v>149</v>
      </c>
      <c r="M257" s="81">
        <v>0</v>
      </c>
      <c r="N257" s="81">
        <f>ROUND(_xlfn.XLOOKUP(B257,'CTE Data'!A:A,'CTE Data'!B:B,0)*H257,0)</f>
        <v>0</v>
      </c>
      <c r="O257" s="76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">
      <c r="A258" s="80" t="s">
        <v>314</v>
      </c>
      <c r="B258" s="80" t="s">
        <v>335</v>
      </c>
      <c r="C258" s="81">
        <v>278</v>
      </c>
      <c r="D258" s="81">
        <v>130</v>
      </c>
      <c r="E258" s="80">
        <v>59</v>
      </c>
      <c r="F258" s="81">
        <v>24</v>
      </c>
      <c r="G258" s="81">
        <v>48</v>
      </c>
      <c r="H258" s="81">
        <v>539</v>
      </c>
      <c r="I258" s="82">
        <v>53.14</v>
      </c>
      <c r="J258" s="82">
        <v>0</v>
      </c>
      <c r="K258" s="82">
        <v>0</v>
      </c>
      <c r="L258" s="81">
        <v>255</v>
      </c>
      <c r="M258" s="81">
        <v>166</v>
      </c>
      <c r="N258" s="81">
        <f>ROUND(_xlfn.XLOOKUP(B258,'CTE Data'!A:A,'CTE Data'!B:B,0)*H258,0)</f>
        <v>0</v>
      </c>
      <c r="O258" s="76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">
      <c r="A259" s="80" t="s">
        <v>314</v>
      </c>
      <c r="B259" s="80" t="s">
        <v>336</v>
      </c>
      <c r="C259" s="81">
        <v>210</v>
      </c>
      <c r="D259" s="81">
        <v>124</v>
      </c>
      <c r="E259" s="81">
        <v>30</v>
      </c>
      <c r="F259" s="81">
        <v>7</v>
      </c>
      <c r="G259" s="81">
        <v>14</v>
      </c>
      <c r="H259" s="81">
        <v>385</v>
      </c>
      <c r="I259" s="82">
        <v>29.28</v>
      </c>
      <c r="J259" s="82">
        <v>0</v>
      </c>
      <c r="K259" s="82">
        <v>0</v>
      </c>
      <c r="L259" s="81">
        <v>132</v>
      </c>
      <c r="M259" s="81">
        <v>63</v>
      </c>
      <c r="N259" s="81">
        <f>ROUND(_xlfn.XLOOKUP(B259,'CTE Data'!A:A,'CTE Data'!B:B,0)*H259,0)</f>
        <v>0</v>
      </c>
      <c r="O259" s="76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">
      <c r="A260" s="80" t="s">
        <v>314</v>
      </c>
      <c r="B260" s="80" t="s">
        <v>337</v>
      </c>
      <c r="C260" s="81">
        <v>268</v>
      </c>
      <c r="D260" s="81">
        <v>0</v>
      </c>
      <c r="E260" s="81">
        <v>29</v>
      </c>
      <c r="F260" s="81">
        <v>8</v>
      </c>
      <c r="G260" s="81">
        <v>35</v>
      </c>
      <c r="H260" s="81">
        <v>340</v>
      </c>
      <c r="I260" s="82">
        <v>34.78</v>
      </c>
      <c r="J260" s="82">
        <v>0</v>
      </c>
      <c r="K260" s="82">
        <v>0</v>
      </c>
      <c r="L260" s="81">
        <v>232</v>
      </c>
      <c r="M260" s="81">
        <v>24</v>
      </c>
      <c r="N260" s="81">
        <f>ROUND(_xlfn.XLOOKUP(B260,'CTE Data'!A:A,'CTE Data'!B:B,0)*H260,0)</f>
        <v>0</v>
      </c>
      <c r="O260" s="76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">
      <c r="A261" s="80" t="s">
        <v>314</v>
      </c>
      <c r="B261" s="80" t="s">
        <v>338</v>
      </c>
      <c r="C261" s="81">
        <v>0</v>
      </c>
      <c r="D261" s="81">
        <v>254</v>
      </c>
      <c r="E261" s="81">
        <v>91</v>
      </c>
      <c r="F261" s="81">
        <v>30</v>
      </c>
      <c r="G261" s="81">
        <v>10</v>
      </c>
      <c r="H261" s="81">
        <v>385</v>
      </c>
      <c r="I261" s="82">
        <v>32.93</v>
      </c>
      <c r="J261" s="82">
        <v>-0.55000000000000004</v>
      </c>
      <c r="K261" s="82">
        <v>1.1000000000000001</v>
      </c>
      <c r="L261" s="81">
        <v>175</v>
      </c>
      <c r="M261" s="81">
        <v>54</v>
      </c>
      <c r="N261" s="81">
        <f>ROUND(_xlfn.XLOOKUP(B261,'CTE Data'!A:A,'CTE Data'!B:B,0)*H261,0)</f>
        <v>34</v>
      </c>
      <c r="O261" s="76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">
      <c r="A262" s="80" t="s">
        <v>314</v>
      </c>
      <c r="B262" s="80" t="s">
        <v>339</v>
      </c>
      <c r="C262" s="81">
        <v>0</v>
      </c>
      <c r="D262" s="81">
        <v>372</v>
      </c>
      <c r="E262" s="81">
        <v>77</v>
      </c>
      <c r="F262" s="81">
        <v>32</v>
      </c>
      <c r="G262" s="81">
        <v>15</v>
      </c>
      <c r="H262" s="81">
        <v>496</v>
      </c>
      <c r="I262" s="82">
        <v>39.86</v>
      </c>
      <c r="J262" s="82">
        <v>-0.99</v>
      </c>
      <c r="K262" s="82">
        <v>1.98</v>
      </c>
      <c r="L262" s="81">
        <v>191</v>
      </c>
      <c r="M262" s="81">
        <v>174</v>
      </c>
      <c r="N262" s="81">
        <f>ROUND(_xlfn.XLOOKUP(B262,'CTE Data'!A:A,'CTE Data'!B:B,0)*H262,0)</f>
        <v>46</v>
      </c>
      <c r="O262" s="76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">
      <c r="A263" s="80" t="s">
        <v>314</v>
      </c>
      <c r="B263" s="80" t="s">
        <v>340</v>
      </c>
      <c r="C263" s="81">
        <v>73</v>
      </c>
      <c r="D263" s="81">
        <v>181</v>
      </c>
      <c r="E263" s="80">
        <v>67</v>
      </c>
      <c r="F263" s="81">
        <v>28</v>
      </c>
      <c r="G263" s="81">
        <v>17</v>
      </c>
      <c r="H263" s="81">
        <v>366</v>
      </c>
      <c r="I263" s="82">
        <v>32.75</v>
      </c>
      <c r="J263" s="82">
        <v>0</v>
      </c>
      <c r="K263" s="82">
        <v>0</v>
      </c>
      <c r="L263" s="81">
        <v>235</v>
      </c>
      <c r="M263" s="81">
        <v>44</v>
      </c>
      <c r="N263" s="81">
        <f>ROUND(_xlfn.XLOOKUP(B263,'CTE Data'!A:A,'CTE Data'!B:B,0)*H263,0)</f>
        <v>0</v>
      </c>
      <c r="O263" s="76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">
      <c r="A264" s="80" t="s">
        <v>314</v>
      </c>
      <c r="B264" s="80" t="s">
        <v>341</v>
      </c>
      <c r="C264" s="81">
        <v>358</v>
      </c>
      <c r="D264" s="81">
        <v>182</v>
      </c>
      <c r="E264" s="80">
        <v>48</v>
      </c>
      <c r="F264" s="81">
        <v>21</v>
      </c>
      <c r="G264" s="81">
        <v>4</v>
      </c>
      <c r="H264" s="81">
        <v>613</v>
      </c>
      <c r="I264" s="82">
        <v>41.95</v>
      </c>
      <c r="J264" s="82">
        <v>0</v>
      </c>
      <c r="K264" s="82">
        <v>0</v>
      </c>
      <c r="L264" s="81">
        <v>61</v>
      </c>
      <c r="M264" s="81">
        <v>42</v>
      </c>
      <c r="N264" s="81">
        <f>ROUND(_xlfn.XLOOKUP(B264,'CTE Data'!A:A,'CTE Data'!B:B,0)*H264,0)</f>
        <v>0</v>
      </c>
      <c r="O264" s="76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85" customFormat="1" x14ac:dyDescent="0.2">
      <c r="A265" s="85" t="s">
        <v>314</v>
      </c>
      <c r="B265" s="85" t="s">
        <v>342</v>
      </c>
      <c r="C265" s="86">
        <v>3745</v>
      </c>
      <c r="D265" s="86">
        <v>7434</v>
      </c>
      <c r="E265" s="86">
        <v>1754</v>
      </c>
      <c r="F265" s="86">
        <v>633</v>
      </c>
      <c r="G265" s="86">
        <v>769</v>
      </c>
      <c r="H265" s="86">
        <v>14335</v>
      </c>
      <c r="I265" s="88">
        <v>1238.46</v>
      </c>
      <c r="J265" s="88">
        <v>-25.51</v>
      </c>
      <c r="K265" s="88">
        <v>51.02</v>
      </c>
      <c r="L265" s="86">
        <v>4198</v>
      </c>
      <c r="M265" s="86">
        <v>2288</v>
      </c>
      <c r="N265" s="86">
        <f>SUM(N238:N264)</f>
        <v>841</v>
      </c>
      <c r="O265" s="88">
        <f>SUM(O238:O264)</f>
        <v>26</v>
      </c>
      <c r="P265" s="88">
        <f t="shared" ref="P265:R265" si="90">SUM(P238:P264)</f>
        <v>50</v>
      </c>
      <c r="Q265" s="88">
        <f t="shared" si="90"/>
        <v>247.68400000000003</v>
      </c>
      <c r="R265" s="88">
        <f t="shared" si="90"/>
        <v>138</v>
      </c>
      <c r="S265" s="87">
        <f t="shared" si="89"/>
        <v>2</v>
      </c>
      <c r="T265" s="87">
        <f t="shared" si="88"/>
        <v>6</v>
      </c>
      <c r="U265" s="87">
        <f>MAX(1,1+INT((I265-500)/500))</f>
        <v>2</v>
      </c>
    </row>
    <row r="266" spans="1:21" x14ac:dyDescent="0.2">
      <c r="A266" s="80" t="s">
        <v>343</v>
      </c>
      <c r="B266" s="80" t="s">
        <v>344</v>
      </c>
      <c r="C266" s="81">
        <v>365</v>
      </c>
      <c r="D266" s="81">
        <v>0</v>
      </c>
      <c r="E266" s="81">
        <v>13</v>
      </c>
      <c r="F266" s="81">
        <v>5</v>
      </c>
      <c r="G266" s="81">
        <v>1</v>
      </c>
      <c r="H266" s="81">
        <v>384</v>
      </c>
      <c r="I266" s="82">
        <v>25.29</v>
      </c>
      <c r="J266" s="82">
        <v>0</v>
      </c>
      <c r="K266" s="82">
        <v>0</v>
      </c>
      <c r="L266" s="81">
        <v>158</v>
      </c>
      <c r="M266" s="81">
        <v>142</v>
      </c>
      <c r="N266" s="81">
        <f>ROUND(_xlfn.XLOOKUP(B266,'CTE Data'!A:A,'CTE Data'!B:B,0)*H266,0)</f>
        <v>0</v>
      </c>
      <c r="O266" s="76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">
      <c r="A267" s="80" t="s">
        <v>343</v>
      </c>
      <c r="B267" s="80" t="s">
        <v>345</v>
      </c>
      <c r="C267" s="81">
        <v>131</v>
      </c>
      <c r="D267" s="81">
        <v>269</v>
      </c>
      <c r="E267" s="81">
        <v>38</v>
      </c>
      <c r="F267" s="81">
        <v>7</v>
      </c>
      <c r="G267" s="81">
        <v>1</v>
      </c>
      <c r="H267" s="81">
        <v>446</v>
      </c>
      <c r="I267" s="82">
        <v>27.61</v>
      </c>
      <c r="J267" s="82">
        <v>0</v>
      </c>
      <c r="K267" s="82">
        <v>0</v>
      </c>
      <c r="L267" s="81">
        <v>183</v>
      </c>
      <c r="M267" s="81">
        <v>157</v>
      </c>
      <c r="N267" s="81">
        <f>ROUND(_xlfn.XLOOKUP(B267,'CTE Data'!A:A,'CTE Data'!B:B,0)*H267,0)</f>
        <v>0</v>
      </c>
      <c r="O267" s="76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">
      <c r="A268" s="80" t="s">
        <v>343</v>
      </c>
      <c r="B268" s="80" t="s">
        <v>346</v>
      </c>
      <c r="C268" s="81">
        <v>0</v>
      </c>
      <c r="D268" s="81">
        <v>0</v>
      </c>
      <c r="E268" s="81">
        <v>6</v>
      </c>
      <c r="F268" s="81">
        <v>21</v>
      </c>
      <c r="G268" s="81">
        <v>59</v>
      </c>
      <c r="H268" s="81">
        <v>86</v>
      </c>
      <c r="I268" s="82">
        <v>26.9</v>
      </c>
      <c r="J268" s="82">
        <v>0</v>
      </c>
      <c r="K268" s="82">
        <v>0</v>
      </c>
      <c r="L268" s="81">
        <v>28</v>
      </c>
      <c r="M268" s="81">
        <v>14</v>
      </c>
      <c r="N268" s="81">
        <f>ROUND(_xlfn.XLOOKUP(B268,'CTE Data'!A:A,'CTE Data'!B:B,0)*H268,0)</f>
        <v>0</v>
      </c>
      <c r="O268" s="76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">
      <c r="A269" s="80" t="s">
        <v>343</v>
      </c>
      <c r="B269" s="80" t="s">
        <v>347</v>
      </c>
      <c r="C269" s="81">
        <v>138</v>
      </c>
      <c r="D269" s="81">
        <v>259</v>
      </c>
      <c r="E269" s="81">
        <v>68</v>
      </c>
      <c r="F269" s="81">
        <v>24</v>
      </c>
      <c r="G269" s="81">
        <v>7</v>
      </c>
      <c r="H269" s="81">
        <v>496</v>
      </c>
      <c r="I269" s="82">
        <v>36.25</v>
      </c>
      <c r="J269" s="82">
        <v>0</v>
      </c>
      <c r="K269" s="82">
        <v>0</v>
      </c>
      <c r="L269" s="81">
        <v>189</v>
      </c>
      <c r="M269" s="81">
        <v>144</v>
      </c>
      <c r="N269" s="81">
        <f>ROUND(_xlfn.XLOOKUP(B269,'CTE Data'!A:A,'CTE Data'!B:B,0)*H269,0)</f>
        <v>0</v>
      </c>
      <c r="O269" s="76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">
      <c r="A270" s="80" t="s">
        <v>343</v>
      </c>
      <c r="B270" s="80" t="s">
        <v>348</v>
      </c>
      <c r="C270" s="81">
        <v>0</v>
      </c>
      <c r="D270" s="81">
        <v>703</v>
      </c>
      <c r="E270" s="81">
        <v>70</v>
      </c>
      <c r="F270" s="81">
        <v>23</v>
      </c>
      <c r="G270" s="81">
        <v>6</v>
      </c>
      <c r="H270" s="81">
        <v>802</v>
      </c>
      <c r="I270" s="82">
        <v>51.8</v>
      </c>
      <c r="J270" s="82">
        <v>-2.1800000000000002</v>
      </c>
      <c r="K270" s="82">
        <v>4.3600000000000003</v>
      </c>
      <c r="L270" s="81">
        <v>302</v>
      </c>
      <c r="M270" s="81">
        <v>195</v>
      </c>
      <c r="N270" s="81">
        <f>ROUND(_xlfn.XLOOKUP(B270,'CTE Data'!A:A,'CTE Data'!B:B,0)*H270,0)</f>
        <v>73</v>
      </c>
      <c r="O270" s="76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">
      <c r="A271" s="80" t="s">
        <v>343</v>
      </c>
      <c r="B271" s="80" t="s">
        <v>349</v>
      </c>
      <c r="C271" s="81">
        <v>0</v>
      </c>
      <c r="D271" s="81">
        <v>760</v>
      </c>
      <c r="E271" s="81">
        <v>113</v>
      </c>
      <c r="F271" s="81">
        <v>37</v>
      </c>
      <c r="G271" s="81">
        <v>7</v>
      </c>
      <c r="H271" s="81">
        <v>917</v>
      </c>
      <c r="I271" s="82">
        <v>65.09</v>
      </c>
      <c r="J271" s="82">
        <v>-4.79</v>
      </c>
      <c r="K271" s="82">
        <v>9.57</v>
      </c>
      <c r="L271" s="81">
        <v>313</v>
      </c>
      <c r="M271" s="81">
        <v>254</v>
      </c>
      <c r="N271" s="81">
        <f>ROUND(_xlfn.XLOOKUP(B271,'CTE Data'!A:A,'CTE Data'!B:B,0)*H271,0)</f>
        <v>151</v>
      </c>
      <c r="O271" s="76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">
      <c r="A272" s="80" t="s">
        <v>343</v>
      </c>
      <c r="B272" s="80" t="s">
        <v>350</v>
      </c>
      <c r="C272" s="81">
        <v>0</v>
      </c>
      <c r="D272" s="81">
        <v>1</v>
      </c>
      <c r="E272" s="81">
        <v>1</v>
      </c>
      <c r="F272" s="81">
        <v>11</v>
      </c>
      <c r="G272" s="81">
        <v>44</v>
      </c>
      <c r="H272" s="81">
        <v>57</v>
      </c>
      <c r="I272" s="82">
        <v>18.920000000000002</v>
      </c>
      <c r="J272" s="82">
        <v>0</v>
      </c>
      <c r="K272" s="82">
        <v>0</v>
      </c>
      <c r="L272" s="81">
        <v>22</v>
      </c>
      <c r="M272" s="81">
        <v>6</v>
      </c>
      <c r="N272" s="81">
        <f>ROUND(_xlfn.XLOOKUP(B272,'CTE Data'!A:A,'CTE Data'!B:B,0)*H272,0)</f>
        <v>0</v>
      </c>
      <c r="O272" s="76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">
      <c r="A273" s="80" t="s">
        <v>343</v>
      </c>
      <c r="B273" s="80" t="s">
        <v>351</v>
      </c>
      <c r="C273" s="81">
        <v>416</v>
      </c>
      <c r="D273" s="81">
        <v>0</v>
      </c>
      <c r="E273" s="81">
        <v>18</v>
      </c>
      <c r="F273" s="81">
        <v>4</v>
      </c>
      <c r="G273" s="81">
        <v>5</v>
      </c>
      <c r="H273" s="81">
        <v>443</v>
      </c>
      <c r="I273" s="82">
        <v>30.41</v>
      </c>
      <c r="J273" s="82">
        <v>0</v>
      </c>
      <c r="K273" s="82">
        <v>0</v>
      </c>
      <c r="L273" s="81">
        <v>171</v>
      </c>
      <c r="M273" s="81">
        <v>197</v>
      </c>
      <c r="N273" s="81">
        <f>ROUND(_xlfn.XLOOKUP(B273,'CTE Data'!A:A,'CTE Data'!B:B,0)*H273,0)</f>
        <v>0</v>
      </c>
      <c r="O273" s="76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85" customFormat="1" x14ac:dyDescent="0.2">
      <c r="A274" s="85" t="s">
        <v>343</v>
      </c>
      <c r="B274" s="85" t="s">
        <v>352</v>
      </c>
      <c r="C274" s="86">
        <v>1050</v>
      </c>
      <c r="D274" s="86">
        <v>1992</v>
      </c>
      <c r="E274" s="86">
        <v>327</v>
      </c>
      <c r="F274" s="86">
        <v>132</v>
      </c>
      <c r="G274" s="86">
        <v>130</v>
      </c>
      <c r="H274" s="86">
        <v>3631</v>
      </c>
      <c r="I274" s="88">
        <v>282.29000000000002</v>
      </c>
      <c r="J274" s="88">
        <v>-6.97</v>
      </c>
      <c r="K274" s="88">
        <v>13.93</v>
      </c>
      <c r="L274" s="86">
        <v>1366</v>
      </c>
      <c r="M274" s="86">
        <v>1109</v>
      </c>
      <c r="N274" s="86">
        <f>SUM(N266:N273)</f>
        <v>224</v>
      </c>
      <c r="O274" s="88">
        <f>SUM(O266:O273)</f>
        <v>8</v>
      </c>
      <c r="P274" s="88">
        <f t="shared" ref="P274:R274" si="94">SUM(P266:P273)</f>
        <v>10</v>
      </c>
      <c r="Q274" s="88">
        <f t="shared" si="94"/>
        <v>56.454000000000001</v>
      </c>
      <c r="R274" s="88">
        <f t="shared" si="94"/>
        <v>31</v>
      </c>
      <c r="S274" s="87">
        <f t="shared" si="89"/>
        <v>1.29</v>
      </c>
      <c r="T274" s="87">
        <f t="shared" si="88"/>
        <v>2</v>
      </c>
      <c r="U274" s="87">
        <f>MAX(1,1+INT((I274-500)/500))</f>
        <v>1</v>
      </c>
    </row>
    <row r="275" spans="1:21" x14ac:dyDescent="0.2">
      <c r="A275" s="80" t="s">
        <v>353</v>
      </c>
      <c r="B275" s="80" t="s">
        <v>354</v>
      </c>
      <c r="C275" s="81">
        <v>348</v>
      </c>
      <c r="D275" s="81">
        <v>90</v>
      </c>
      <c r="E275" s="81">
        <v>23</v>
      </c>
      <c r="F275" s="81">
        <v>12</v>
      </c>
      <c r="G275" s="81">
        <v>15</v>
      </c>
      <c r="H275" s="81">
        <v>488</v>
      </c>
      <c r="I275" s="82">
        <v>36.49</v>
      </c>
      <c r="J275" s="82">
        <v>0</v>
      </c>
      <c r="K275" s="82">
        <v>0</v>
      </c>
      <c r="L275" s="81">
        <v>79</v>
      </c>
      <c r="M275" s="81">
        <v>21</v>
      </c>
      <c r="N275" s="81">
        <f>ROUND(_xlfn.XLOOKUP(B275,'CTE Data'!A:A,'CTE Data'!B:B,0)*H275,0)</f>
        <v>0</v>
      </c>
      <c r="O275" s="76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">
      <c r="A276" s="80" t="s">
        <v>353</v>
      </c>
      <c r="B276" s="80" t="s">
        <v>355</v>
      </c>
      <c r="C276" s="81">
        <v>0</v>
      </c>
      <c r="D276" s="81">
        <v>411</v>
      </c>
      <c r="E276" s="81">
        <v>56</v>
      </c>
      <c r="F276" s="81">
        <v>22</v>
      </c>
      <c r="G276" s="81">
        <v>4</v>
      </c>
      <c r="H276" s="81">
        <v>493</v>
      </c>
      <c r="I276" s="82">
        <v>32.43</v>
      </c>
      <c r="J276" s="82">
        <v>0</v>
      </c>
      <c r="K276" s="82">
        <v>0</v>
      </c>
      <c r="L276" s="81">
        <v>87</v>
      </c>
      <c r="M276" s="81">
        <v>10</v>
      </c>
      <c r="N276" s="81">
        <f>ROUND(_xlfn.XLOOKUP(B276,'CTE Data'!A:A,'CTE Data'!B:B,0)*H276,0)</f>
        <v>0</v>
      </c>
      <c r="O276" s="76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">
      <c r="A277" s="80" t="s">
        <v>353</v>
      </c>
      <c r="B277" s="80" t="s">
        <v>356</v>
      </c>
      <c r="C277" s="81">
        <v>0</v>
      </c>
      <c r="D277" s="81">
        <v>489</v>
      </c>
      <c r="E277" s="81">
        <v>47</v>
      </c>
      <c r="F277" s="81">
        <v>52</v>
      </c>
      <c r="G277" s="81">
        <v>35</v>
      </c>
      <c r="H277" s="81">
        <v>623</v>
      </c>
      <c r="I277" s="82">
        <v>52.18</v>
      </c>
      <c r="J277" s="82">
        <v>0</v>
      </c>
      <c r="K277" s="82">
        <v>0</v>
      </c>
      <c r="L277" s="81">
        <v>177</v>
      </c>
      <c r="M277" s="81">
        <v>30</v>
      </c>
      <c r="N277" s="81">
        <f>ROUND(_xlfn.XLOOKUP(B277,'CTE Data'!A:A,'CTE Data'!B:B,0)*H277,0)</f>
        <v>0</v>
      </c>
      <c r="O277" s="76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">
      <c r="A278" s="80" t="s">
        <v>353</v>
      </c>
      <c r="B278" s="80" t="s">
        <v>357</v>
      </c>
      <c r="C278" s="81">
        <v>367</v>
      </c>
      <c r="D278" s="81">
        <v>0</v>
      </c>
      <c r="E278" s="81">
        <v>45</v>
      </c>
      <c r="F278" s="81">
        <v>77</v>
      </c>
      <c r="G278" s="81">
        <v>76</v>
      </c>
      <c r="H278" s="81">
        <v>565</v>
      </c>
      <c r="I278" s="82">
        <v>70.06</v>
      </c>
      <c r="J278" s="82">
        <v>0</v>
      </c>
      <c r="K278" s="82">
        <v>0</v>
      </c>
      <c r="L278" s="81">
        <v>175</v>
      </c>
      <c r="M278" s="81">
        <v>25</v>
      </c>
      <c r="N278" s="81">
        <f>ROUND(_xlfn.XLOOKUP(B278,'CTE Data'!A:A,'CTE Data'!B:B,0)*H278,0)</f>
        <v>0</v>
      </c>
      <c r="O278" s="76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">
      <c r="A279" s="80" t="s">
        <v>353</v>
      </c>
      <c r="B279" s="80" t="s">
        <v>358</v>
      </c>
      <c r="C279" s="81">
        <v>290</v>
      </c>
      <c r="D279" s="81">
        <v>0</v>
      </c>
      <c r="E279" s="81">
        <v>14</v>
      </c>
      <c r="F279" s="81">
        <v>16</v>
      </c>
      <c r="G279" s="81">
        <v>39</v>
      </c>
      <c r="H279" s="81">
        <v>359</v>
      </c>
      <c r="I279" s="82">
        <v>37.24</v>
      </c>
      <c r="J279" s="82">
        <v>0</v>
      </c>
      <c r="K279" s="82">
        <v>0</v>
      </c>
      <c r="L279" s="81">
        <v>116</v>
      </c>
      <c r="M279" s="81">
        <v>22</v>
      </c>
      <c r="N279" s="81">
        <f>ROUND(_xlfn.XLOOKUP(B279,'CTE Data'!A:A,'CTE Data'!B:B,0)*H279,0)</f>
        <v>0</v>
      </c>
      <c r="O279" s="76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">
      <c r="A280" s="80" t="s">
        <v>353</v>
      </c>
      <c r="B280" s="80" t="s">
        <v>359</v>
      </c>
      <c r="C280" s="81">
        <v>0</v>
      </c>
      <c r="D280" s="81">
        <v>1427</v>
      </c>
      <c r="E280" s="81">
        <v>213</v>
      </c>
      <c r="F280" s="81">
        <v>51</v>
      </c>
      <c r="G280" s="81">
        <v>42</v>
      </c>
      <c r="H280" s="81">
        <v>1733</v>
      </c>
      <c r="I280" s="82">
        <v>135.26</v>
      </c>
      <c r="J280" s="82">
        <v>-13.9</v>
      </c>
      <c r="K280" s="82">
        <v>27.8</v>
      </c>
      <c r="L280" s="81">
        <v>287</v>
      </c>
      <c r="M280" s="81">
        <v>56</v>
      </c>
      <c r="N280" s="81">
        <f>ROUND(_xlfn.XLOOKUP(B280,'CTE Data'!A:A,'CTE Data'!B:B,0)*H280,0)</f>
        <v>329</v>
      </c>
      <c r="O280" s="76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">
      <c r="A281" s="80" t="s">
        <v>353</v>
      </c>
      <c r="B281" s="80" t="s">
        <v>360</v>
      </c>
      <c r="C281" s="81">
        <v>0</v>
      </c>
      <c r="D281" s="81">
        <v>777</v>
      </c>
      <c r="E281" s="81">
        <v>85</v>
      </c>
      <c r="F281" s="81">
        <v>66</v>
      </c>
      <c r="G281" s="81">
        <v>27</v>
      </c>
      <c r="H281" s="81">
        <v>955</v>
      </c>
      <c r="I281" s="82">
        <v>75.27</v>
      </c>
      <c r="J281" s="82">
        <v>-4.93</v>
      </c>
      <c r="K281" s="82">
        <v>9.85</v>
      </c>
      <c r="L281" s="81">
        <v>181</v>
      </c>
      <c r="M281" s="81">
        <v>42</v>
      </c>
      <c r="N281" s="81">
        <f>ROUND(_xlfn.XLOOKUP(B281,'CTE Data'!A:A,'CTE Data'!B:B,0)*H281,0)</f>
        <v>142</v>
      </c>
      <c r="O281" s="76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">
      <c r="A282" s="80" t="s">
        <v>353</v>
      </c>
      <c r="B282" s="80" t="s">
        <v>361</v>
      </c>
      <c r="C282" s="81">
        <v>338</v>
      </c>
      <c r="D282" s="81">
        <v>109</v>
      </c>
      <c r="E282" s="81">
        <v>26</v>
      </c>
      <c r="F282" s="81">
        <v>21</v>
      </c>
      <c r="G282" s="81">
        <v>11</v>
      </c>
      <c r="H282" s="81">
        <v>505</v>
      </c>
      <c r="I282" s="82">
        <v>37.14</v>
      </c>
      <c r="J282" s="82">
        <v>0</v>
      </c>
      <c r="K282" s="82">
        <v>0</v>
      </c>
      <c r="L282" s="81">
        <v>101</v>
      </c>
      <c r="M282" s="81">
        <v>18</v>
      </c>
      <c r="N282" s="81">
        <f>ROUND(_xlfn.XLOOKUP(B282,'CTE Data'!A:A,'CTE Data'!B:B,0)*H282,0)</f>
        <v>0</v>
      </c>
      <c r="O282" s="76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85" customFormat="1" x14ac:dyDescent="0.2">
      <c r="A283" s="85" t="s">
        <v>353</v>
      </c>
      <c r="B283" s="85" t="s">
        <v>362</v>
      </c>
      <c r="C283" s="86">
        <v>1343</v>
      </c>
      <c r="D283" s="86">
        <v>3303</v>
      </c>
      <c r="E283" s="86">
        <v>509</v>
      </c>
      <c r="F283" s="86">
        <v>317</v>
      </c>
      <c r="G283" s="86">
        <v>249</v>
      </c>
      <c r="H283" s="86">
        <v>5721</v>
      </c>
      <c r="I283" s="88">
        <v>476.06</v>
      </c>
      <c r="J283" s="88">
        <v>-18.829999999999998</v>
      </c>
      <c r="K283" s="88">
        <v>37.65</v>
      </c>
      <c r="L283" s="86">
        <v>1203</v>
      </c>
      <c r="M283" s="86">
        <v>224</v>
      </c>
      <c r="N283" s="86">
        <f>SUM(N275:N282)</f>
        <v>471</v>
      </c>
      <c r="O283" s="88">
        <f>SUM(O275:O282)</f>
        <v>8</v>
      </c>
      <c r="P283" s="88">
        <f t="shared" ref="P283:R283" si="98">SUM(P275:P282)</f>
        <v>21</v>
      </c>
      <c r="Q283" s="88">
        <f t="shared" si="98"/>
        <v>95.213999999999999</v>
      </c>
      <c r="R283" s="88">
        <f t="shared" si="98"/>
        <v>53</v>
      </c>
      <c r="S283" s="87">
        <f t="shared" si="89"/>
        <v>2</v>
      </c>
      <c r="T283" s="87">
        <f t="shared" si="88"/>
        <v>5</v>
      </c>
      <c r="U283" s="87">
        <f>MAX(1,1+INT((I283-500)/500))</f>
        <v>1</v>
      </c>
    </row>
    <row r="284" spans="1:21" x14ac:dyDescent="0.2">
      <c r="A284" s="80" t="s">
        <v>431</v>
      </c>
      <c r="B284" s="80" t="s">
        <v>432</v>
      </c>
      <c r="C284" s="81">
        <v>174</v>
      </c>
      <c r="D284" s="81">
        <v>76</v>
      </c>
      <c r="E284" s="81">
        <v>25</v>
      </c>
      <c r="F284" s="81">
        <v>3</v>
      </c>
      <c r="G284" s="81">
        <v>0</v>
      </c>
      <c r="H284" s="81">
        <v>279</v>
      </c>
      <c r="I284" s="82">
        <v>18.02</v>
      </c>
      <c r="J284" s="82">
        <v>0</v>
      </c>
      <c r="K284" s="82">
        <v>0</v>
      </c>
      <c r="L284" s="81">
        <v>33</v>
      </c>
      <c r="M284" s="81">
        <v>18</v>
      </c>
      <c r="N284" s="81">
        <v>0</v>
      </c>
      <c r="O284" s="76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">
      <c r="A285" s="80" t="s">
        <v>431</v>
      </c>
      <c r="B285" s="80" t="s">
        <v>433</v>
      </c>
      <c r="C285" s="81">
        <v>0</v>
      </c>
      <c r="D285" s="81">
        <v>347</v>
      </c>
      <c r="E285" s="81">
        <v>37</v>
      </c>
      <c r="F285" s="81">
        <v>5</v>
      </c>
      <c r="G285" s="81">
        <v>0</v>
      </c>
      <c r="H285" s="81">
        <v>388</v>
      </c>
      <c r="I285" s="82">
        <v>22.59</v>
      </c>
      <c r="J285" s="82">
        <v>-0.32</v>
      </c>
      <c r="K285" s="82">
        <v>0.64</v>
      </c>
      <c r="L285" s="81">
        <v>23</v>
      </c>
      <c r="M285" s="81">
        <v>15</v>
      </c>
      <c r="N285" s="81">
        <v>0</v>
      </c>
      <c r="O285" s="76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">
      <c r="A286" s="80" t="s">
        <v>431</v>
      </c>
      <c r="B286" s="80" t="s">
        <v>434</v>
      </c>
      <c r="C286" s="81">
        <v>0</v>
      </c>
      <c r="D286" s="81">
        <v>490</v>
      </c>
      <c r="E286" s="81">
        <v>31</v>
      </c>
      <c r="F286" s="81">
        <v>2</v>
      </c>
      <c r="G286" s="81">
        <v>0</v>
      </c>
      <c r="H286" s="81">
        <v>523</v>
      </c>
      <c r="I286" s="82">
        <v>28.52</v>
      </c>
      <c r="J286" s="82">
        <v>-1.21</v>
      </c>
      <c r="K286" s="82">
        <v>2.41</v>
      </c>
      <c r="L286" s="81">
        <v>25</v>
      </c>
      <c r="M286" s="81">
        <v>13</v>
      </c>
      <c r="N286" s="81">
        <v>47</v>
      </c>
      <c r="O286" s="76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85" customFormat="1" x14ac:dyDescent="0.2">
      <c r="A287" s="85" t="s">
        <v>431</v>
      </c>
      <c r="B287" s="85" t="s">
        <v>431</v>
      </c>
      <c r="C287" s="86">
        <v>174</v>
      </c>
      <c r="D287" s="86">
        <v>913</v>
      </c>
      <c r="E287" s="85">
        <v>93</v>
      </c>
      <c r="F287" s="86">
        <v>10</v>
      </c>
      <c r="G287" s="86">
        <v>0</v>
      </c>
      <c r="H287" s="86">
        <v>1190</v>
      </c>
      <c r="I287" s="87">
        <v>70.650000000000006</v>
      </c>
      <c r="J287" s="87">
        <v>-1.53</v>
      </c>
      <c r="K287" s="87">
        <v>3.05</v>
      </c>
      <c r="L287" s="86">
        <v>81</v>
      </c>
      <c r="M287" s="86">
        <v>46</v>
      </c>
      <c r="N287" s="86">
        <f>N286+N285+N284</f>
        <v>47</v>
      </c>
      <c r="O287" s="88">
        <f>SUM(O284:O286)</f>
        <v>3</v>
      </c>
      <c r="P287" s="88">
        <f>SUM(P284:P286)</f>
        <v>1</v>
      </c>
      <c r="Q287" s="88">
        <f>SUM(Q284:Q286)</f>
        <v>13.826000000000001</v>
      </c>
      <c r="R287" s="88">
        <f>SUM(R284:R286)</f>
        <v>7</v>
      </c>
      <c r="S287" s="87">
        <f t="shared" si="89"/>
        <v>0</v>
      </c>
      <c r="T287" s="87">
        <f t="shared" si="88"/>
        <v>0</v>
      </c>
      <c r="U287" s="87">
        <f>MAX(1,1+INT((I287-500)/500))</f>
        <v>1</v>
      </c>
    </row>
    <row r="288" spans="1:21" s="85" customFormat="1" x14ac:dyDescent="0.2">
      <c r="A288" s="85" t="s">
        <v>435</v>
      </c>
      <c r="B288" s="85" t="s">
        <v>435</v>
      </c>
      <c r="C288" s="86">
        <v>227</v>
      </c>
      <c r="D288" s="86">
        <v>124</v>
      </c>
      <c r="E288" s="85">
        <v>11</v>
      </c>
      <c r="F288" s="86">
        <v>17</v>
      </c>
      <c r="G288" s="86">
        <v>13</v>
      </c>
      <c r="H288" s="86">
        <v>392</v>
      </c>
      <c r="I288" s="87">
        <v>29.35</v>
      </c>
      <c r="J288" s="87">
        <v>0</v>
      </c>
      <c r="K288" s="87">
        <v>0</v>
      </c>
      <c r="L288" s="86">
        <v>133</v>
      </c>
      <c r="M288" s="86">
        <v>25</v>
      </c>
      <c r="N288" s="86">
        <f>ROUND(_xlfn.XLOOKUP(B288,'CTE Data'!A:A,'CTE Data'!B:B,0)*H288,0)</f>
        <v>0</v>
      </c>
      <c r="O288" s="88">
        <v>1</v>
      </c>
      <c r="P288" s="87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87">
        <f t="shared" ref="Q288:Q294" si="100">I288*0.2</f>
        <v>5.870000000000001</v>
      </c>
      <c r="R288" s="87">
        <f t="shared" ref="R288:R294" si="101">ROUNDDOWN(IF(I288+O288+Q288&lt;100,INT((I288+O288+Q288)/10),10+INT(((I288+O288+Q288)-100)/12)),0)</f>
        <v>3</v>
      </c>
      <c r="S288" s="87">
        <f t="shared" si="89"/>
        <v>0</v>
      </c>
      <c r="T288" s="87">
        <f t="shared" si="88"/>
        <v>0</v>
      </c>
      <c r="U288" s="87">
        <v>1</v>
      </c>
    </row>
    <row r="289" spans="1:21" x14ac:dyDescent="0.2">
      <c r="A289" s="80" t="s">
        <v>363</v>
      </c>
      <c r="B289" s="80" t="s">
        <v>364</v>
      </c>
      <c r="C289" s="81">
        <v>0</v>
      </c>
      <c r="D289" s="81">
        <v>1170</v>
      </c>
      <c r="E289" s="81">
        <v>115</v>
      </c>
      <c r="F289" s="81">
        <v>51</v>
      </c>
      <c r="G289" s="81">
        <v>13</v>
      </c>
      <c r="H289" s="81">
        <v>1349</v>
      </c>
      <c r="I289" s="82">
        <v>108.17</v>
      </c>
      <c r="J289" s="82">
        <v>-22.49</v>
      </c>
      <c r="K289" s="82">
        <v>44.97</v>
      </c>
      <c r="L289" s="81">
        <v>279</v>
      </c>
      <c r="M289" s="81">
        <v>139</v>
      </c>
      <c r="N289" s="81">
        <f>ROUND(_xlfn.XLOOKUP(B289,'CTE Data'!A:A,'CTE Data'!B:B,0)*H289,0)</f>
        <v>1349</v>
      </c>
      <c r="O289" s="76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85" customFormat="1" x14ac:dyDescent="0.2">
      <c r="A290" s="85" t="s">
        <v>363</v>
      </c>
      <c r="B290" s="85" t="s">
        <v>365</v>
      </c>
      <c r="C290" s="86">
        <v>0</v>
      </c>
      <c r="D290" s="86">
        <v>1170</v>
      </c>
      <c r="E290" s="86">
        <v>115</v>
      </c>
      <c r="F290" s="86">
        <v>51</v>
      </c>
      <c r="G290" s="86">
        <v>13</v>
      </c>
      <c r="H290" s="86">
        <v>1349</v>
      </c>
      <c r="I290" s="88">
        <v>108.17</v>
      </c>
      <c r="J290" s="88">
        <v>-22.49</v>
      </c>
      <c r="K290" s="88">
        <v>44.97</v>
      </c>
      <c r="L290" s="86">
        <v>279</v>
      </c>
      <c r="M290" s="86">
        <v>139</v>
      </c>
      <c r="N290" s="86">
        <f>N289</f>
        <v>1349</v>
      </c>
      <c r="O290" s="88">
        <v>1</v>
      </c>
      <c r="P290" s="87">
        <f t="shared" si="99"/>
        <v>6</v>
      </c>
      <c r="Q290" s="87">
        <f t="shared" si="100"/>
        <v>21.634</v>
      </c>
      <c r="R290" s="87">
        <f t="shared" si="101"/>
        <v>12</v>
      </c>
      <c r="S290" s="87">
        <f t="shared" si="89"/>
        <v>0</v>
      </c>
      <c r="T290" s="87">
        <f t="shared" si="102"/>
        <v>0</v>
      </c>
      <c r="U290" s="87">
        <f>MAX(1,1+INT((I290-500)/500))</f>
        <v>1</v>
      </c>
    </row>
    <row r="291" spans="1:21" x14ac:dyDescent="0.2">
      <c r="A291" s="80" t="s">
        <v>366</v>
      </c>
      <c r="B291" s="80" t="s">
        <v>367</v>
      </c>
      <c r="C291" s="81">
        <v>162</v>
      </c>
      <c r="D291" s="81">
        <v>355</v>
      </c>
      <c r="E291" s="81">
        <v>45</v>
      </c>
      <c r="F291" s="81">
        <v>71</v>
      </c>
      <c r="G291" s="81">
        <v>14</v>
      </c>
      <c r="H291" s="81">
        <v>647</v>
      </c>
      <c r="I291" s="82">
        <v>50.32</v>
      </c>
      <c r="J291" s="82">
        <v>0</v>
      </c>
      <c r="K291" s="82">
        <v>0</v>
      </c>
      <c r="L291" s="81">
        <v>226</v>
      </c>
      <c r="M291" s="81">
        <v>145</v>
      </c>
      <c r="N291" s="81">
        <f>ROUND(_xlfn.XLOOKUP(B291,'CTE Data'!A:A,'CTE Data'!B:B,0)*H291,0)</f>
        <v>0</v>
      </c>
      <c r="O291" s="76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">
      <c r="A292" s="80" t="s">
        <v>366</v>
      </c>
      <c r="B292" s="80" t="s">
        <v>368</v>
      </c>
      <c r="C292" s="81">
        <v>490</v>
      </c>
      <c r="D292" s="81">
        <v>0</v>
      </c>
      <c r="E292" s="81">
        <v>14</v>
      </c>
      <c r="F292" s="81">
        <v>70</v>
      </c>
      <c r="G292" s="81">
        <v>42</v>
      </c>
      <c r="H292" s="81">
        <v>616</v>
      </c>
      <c r="I292" s="82">
        <v>59.74</v>
      </c>
      <c r="J292" s="82">
        <v>0</v>
      </c>
      <c r="K292" s="82">
        <v>0</v>
      </c>
      <c r="L292" s="81">
        <v>234</v>
      </c>
      <c r="M292" s="81">
        <v>148</v>
      </c>
      <c r="N292" s="81">
        <f>ROUND(_xlfn.XLOOKUP(B292,'CTE Data'!A:A,'CTE Data'!B:B,0)*H292,0)</f>
        <v>0</v>
      </c>
      <c r="O292" s="76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">
      <c r="A293" s="80" t="s">
        <v>366</v>
      </c>
      <c r="B293" s="80" t="s">
        <v>369</v>
      </c>
      <c r="C293" s="81">
        <v>0</v>
      </c>
      <c r="D293" s="81">
        <v>552</v>
      </c>
      <c r="E293" s="81">
        <v>68</v>
      </c>
      <c r="F293" s="81">
        <v>74</v>
      </c>
      <c r="G293" s="81">
        <v>13</v>
      </c>
      <c r="H293" s="81">
        <v>707</v>
      </c>
      <c r="I293" s="82">
        <v>56.83</v>
      </c>
      <c r="J293" s="82">
        <v>-3.8</v>
      </c>
      <c r="K293" s="82">
        <v>7.6</v>
      </c>
      <c r="L293" s="81">
        <v>197</v>
      </c>
      <c r="M293" s="81">
        <v>115</v>
      </c>
      <c r="N293" s="81">
        <f>ROUND(_xlfn.XLOOKUP(B293,'CTE Data'!A:A,'CTE Data'!B:B,0)*H293,0)</f>
        <v>119</v>
      </c>
      <c r="O293" s="76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">
      <c r="A294" s="80" t="s">
        <v>366</v>
      </c>
      <c r="B294" s="80" t="s">
        <v>370</v>
      </c>
      <c r="C294" s="81">
        <v>0</v>
      </c>
      <c r="D294" s="81">
        <v>488</v>
      </c>
      <c r="E294" s="81">
        <v>72</v>
      </c>
      <c r="F294" s="81">
        <v>61</v>
      </c>
      <c r="G294" s="81">
        <v>14</v>
      </c>
      <c r="H294" s="81">
        <v>635</v>
      </c>
      <c r="I294" s="82">
        <v>50.9</v>
      </c>
      <c r="J294" s="82">
        <v>-2.39</v>
      </c>
      <c r="K294" s="82">
        <v>4.7699999999999996</v>
      </c>
      <c r="L294" s="81">
        <v>199</v>
      </c>
      <c r="M294" s="81">
        <v>73</v>
      </c>
      <c r="N294" s="81">
        <f>ROUND(_xlfn.XLOOKUP(B294,'CTE Data'!A:A,'CTE Data'!B:B,0)*H294,0)</f>
        <v>74</v>
      </c>
      <c r="O294" s="76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85" customFormat="1" x14ac:dyDescent="0.2">
      <c r="A295" s="85" t="s">
        <v>366</v>
      </c>
      <c r="B295" s="85" t="s">
        <v>371</v>
      </c>
      <c r="C295" s="86">
        <v>652</v>
      </c>
      <c r="D295" s="86">
        <v>1395</v>
      </c>
      <c r="E295" s="86">
        <v>199</v>
      </c>
      <c r="F295" s="86">
        <v>276</v>
      </c>
      <c r="G295" s="86">
        <v>83</v>
      </c>
      <c r="H295" s="86">
        <v>2605</v>
      </c>
      <c r="I295" s="88">
        <v>217.79</v>
      </c>
      <c r="J295" s="88">
        <v>-6.19</v>
      </c>
      <c r="K295" s="88">
        <v>12.37</v>
      </c>
      <c r="L295" s="86">
        <v>856</v>
      </c>
      <c r="M295" s="86">
        <v>481</v>
      </c>
      <c r="N295" s="86">
        <f>SUM(N291:N294)</f>
        <v>193</v>
      </c>
      <c r="O295" s="88">
        <f>SUM(O291:O294)</f>
        <v>4</v>
      </c>
      <c r="P295" s="88">
        <f t="shared" ref="P295:R295" si="103">SUM(P291:P294)</f>
        <v>9</v>
      </c>
      <c r="Q295" s="88">
        <f t="shared" si="103"/>
        <v>43.558</v>
      </c>
      <c r="R295" s="88">
        <f t="shared" si="103"/>
        <v>25</v>
      </c>
      <c r="S295" s="87">
        <f t="shared" si="89"/>
        <v>0</v>
      </c>
      <c r="T295" s="87">
        <f t="shared" si="102"/>
        <v>1</v>
      </c>
      <c r="U295" s="87">
        <f>MAX(1,1+INT((I295-500)/500))</f>
        <v>1</v>
      </c>
    </row>
    <row r="296" spans="1:21" x14ac:dyDescent="0.2">
      <c r="A296" s="80" t="s">
        <v>19</v>
      </c>
      <c r="B296" s="80" t="s">
        <v>19</v>
      </c>
      <c r="C296" s="84">
        <v>34035</v>
      </c>
      <c r="D296" s="84">
        <v>80021</v>
      </c>
      <c r="E296" s="84">
        <v>13944</v>
      </c>
      <c r="F296" s="84">
        <v>6933</v>
      </c>
      <c r="G296" s="84">
        <v>6381</v>
      </c>
      <c r="H296" s="84">
        <v>141314</v>
      </c>
      <c r="I296" s="84">
        <v>11791.2</v>
      </c>
      <c r="J296" s="83">
        <v>-419.68</v>
      </c>
      <c r="K296" s="83">
        <v>839.2</v>
      </c>
      <c r="L296" s="84">
        <v>36749</v>
      </c>
      <c r="M296" s="84">
        <v>17242</v>
      </c>
      <c r="N296" s="81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76">
        <f t="shared" si="104"/>
        <v>249</v>
      </c>
      <c r="P296" s="76">
        <f t="shared" si="104"/>
        <v>477</v>
      </c>
      <c r="Q296" s="76">
        <f t="shared" si="104"/>
        <v>2354.7340000000004</v>
      </c>
      <c r="R296" s="76">
        <f t="shared" si="104"/>
        <v>1294</v>
      </c>
      <c r="S296" s="76">
        <f t="shared" si="104"/>
        <v>25.97</v>
      </c>
      <c r="T296" s="76">
        <f t="shared" si="104"/>
        <v>75</v>
      </c>
      <c r="U296" s="76">
        <f t="shared" si="104"/>
        <v>46</v>
      </c>
    </row>
    <row r="298" spans="1:21" x14ac:dyDescent="0.2">
      <c r="B298" s="80" t="s">
        <v>448</v>
      </c>
      <c r="C298" s="95">
        <f>C295+C290+C288+C287+C283+C274+C265+C237+C234+C231+C229+C224+C219+C213+C209+C201+C196+C192+C184+C181+C165+C164+C161+C160+C157+C156+C152+C149+C148+C143+C140+C139+C126+C111+C80+C79+C76+C61+C50+C47+C46+C29+C7+C4</f>
        <v>34035</v>
      </c>
      <c r="D298" s="95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95">
        <f t="shared" si="105"/>
        <v>13944</v>
      </c>
      <c r="F298" s="95">
        <f t="shared" si="105"/>
        <v>6933</v>
      </c>
      <c r="G298" s="95">
        <f t="shared" si="105"/>
        <v>6381</v>
      </c>
      <c r="H298" s="95">
        <f t="shared" si="105"/>
        <v>141314</v>
      </c>
      <c r="I298" s="95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95">
        <f t="shared" si="105"/>
        <v>36749</v>
      </c>
      <c r="M298" s="95">
        <f t="shared" si="105"/>
        <v>17242</v>
      </c>
      <c r="N298" s="95">
        <f>N295+N290+N288+N287+N283+N274+N265+N237+N234+N231+N229+N224+N219+N213+N209+N201+N196+N192+N184+N181+N165+N164+N161+N160+N157+N156+N152+N149+N148+N143+N140+N139+N126+N111+N80+N79+N76+N61+N50+N47+N46+N29+N7+N4</f>
        <v>18249</v>
      </c>
      <c r="O298" s="95">
        <f t="shared" si="105"/>
        <v>249</v>
      </c>
      <c r="P298" s="95">
        <f t="shared" si="105"/>
        <v>477</v>
      </c>
      <c r="Q298" s="95">
        <f t="shared" si="105"/>
        <v>2354.7340000000004</v>
      </c>
      <c r="R298" s="95">
        <f t="shared" si="105"/>
        <v>1294</v>
      </c>
      <c r="S298" s="95">
        <f t="shared" si="105"/>
        <v>25.97</v>
      </c>
      <c r="T298" s="95">
        <f t="shared" si="105"/>
        <v>75</v>
      </c>
      <c r="U298" s="95">
        <f t="shared" si="105"/>
        <v>46</v>
      </c>
    </row>
    <row r="300" spans="1:21" x14ac:dyDescent="0.2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workbookViewId="0">
      <selection activeCell="B90" sqref="B90"/>
    </sheetView>
  </sheetViews>
  <sheetFormatPr baseColWidth="10" defaultColWidth="15.5" defaultRowHeight="15" x14ac:dyDescent="0.2"/>
  <cols>
    <col min="1" max="1" width="48.5" bestFit="1" customWidth="1"/>
    <col min="2" max="2" width="16.5" bestFit="1" customWidth="1"/>
  </cols>
  <sheetData>
    <row r="1" spans="1:2" x14ac:dyDescent="0.2">
      <c r="A1" t="s">
        <v>449</v>
      </c>
      <c r="B1" t="s">
        <v>450</v>
      </c>
    </row>
    <row r="2" spans="1:2" x14ac:dyDescent="0.2">
      <c r="A2" t="s">
        <v>171</v>
      </c>
      <c r="B2">
        <v>7.6789838337182448E-2</v>
      </c>
    </row>
    <row r="3" spans="1:2" x14ac:dyDescent="0.2">
      <c r="A3" t="s">
        <v>167</v>
      </c>
      <c r="B3">
        <v>0.11448253239298016</v>
      </c>
    </row>
    <row r="4" spans="1:2" x14ac:dyDescent="0.2">
      <c r="A4" t="s">
        <v>168</v>
      </c>
      <c r="B4">
        <v>0.11271456782621905</v>
      </c>
    </row>
    <row r="5" spans="1:2" x14ac:dyDescent="0.2">
      <c r="A5" t="s">
        <v>165</v>
      </c>
      <c r="B5">
        <v>0.10903673530964775</v>
      </c>
    </row>
    <row r="6" spans="1:2" x14ac:dyDescent="0.2">
      <c r="A6" t="s">
        <v>259</v>
      </c>
      <c r="B6">
        <v>0.11332007952286283</v>
      </c>
    </row>
    <row r="7" spans="1:2" x14ac:dyDescent="0.2">
      <c r="A7" t="s">
        <v>170</v>
      </c>
      <c r="B7">
        <v>1</v>
      </c>
    </row>
    <row r="8" spans="1:2" x14ac:dyDescent="0.2">
      <c r="A8" t="s">
        <v>199</v>
      </c>
      <c r="B8">
        <v>0.11611428571428571</v>
      </c>
    </row>
    <row r="9" spans="1:2" x14ac:dyDescent="0.2">
      <c r="A9" t="s">
        <v>200</v>
      </c>
      <c r="B9">
        <v>9.7256857855361589E-2</v>
      </c>
    </row>
    <row r="10" spans="1:2" x14ac:dyDescent="0.2">
      <c r="A10" t="s">
        <v>193</v>
      </c>
      <c r="B10">
        <v>0.17163509471585245</v>
      </c>
    </row>
    <row r="11" spans="1:2" x14ac:dyDescent="0.2">
      <c r="A11" t="s">
        <v>197</v>
      </c>
      <c r="B11">
        <v>1</v>
      </c>
    </row>
    <row r="12" spans="1:2" x14ac:dyDescent="0.2">
      <c r="A12" t="s">
        <v>198</v>
      </c>
      <c r="B12">
        <v>7.6562500000000006E-2</v>
      </c>
    </row>
    <row r="13" spans="1:2" x14ac:dyDescent="0.2">
      <c r="A13" t="s">
        <v>281</v>
      </c>
      <c r="B13">
        <v>8.7393792266342987E-2</v>
      </c>
    </row>
    <row r="14" spans="1:2" x14ac:dyDescent="0.2">
      <c r="A14" t="s">
        <v>285</v>
      </c>
      <c r="B14">
        <v>0.22380178716490659</v>
      </c>
    </row>
    <row r="15" spans="1:2" x14ac:dyDescent="0.2">
      <c r="A15" t="s">
        <v>292</v>
      </c>
      <c r="B15">
        <v>0.19423032001868723</v>
      </c>
    </row>
    <row r="16" spans="1:2" x14ac:dyDescent="0.2">
      <c r="A16" t="s">
        <v>291</v>
      </c>
      <c r="B16">
        <v>0.22930765226444561</v>
      </c>
    </row>
    <row r="17" spans="1:2" x14ac:dyDescent="0.2">
      <c r="A17" t="s">
        <v>180</v>
      </c>
      <c r="B17">
        <v>0.16042009884678748</v>
      </c>
    </row>
    <row r="18" spans="1:2" x14ac:dyDescent="0.2">
      <c r="A18" t="s">
        <v>184</v>
      </c>
      <c r="B18">
        <v>0.15684513115343154</v>
      </c>
    </row>
    <row r="19" spans="1:2" x14ac:dyDescent="0.2">
      <c r="A19" t="s">
        <v>178</v>
      </c>
      <c r="B19">
        <v>0.15766604593420236</v>
      </c>
    </row>
    <row r="20" spans="1:2" x14ac:dyDescent="0.2">
      <c r="A20" t="s">
        <v>179</v>
      </c>
      <c r="B20">
        <v>0.14291000287793448</v>
      </c>
    </row>
    <row r="21" spans="1:2" x14ac:dyDescent="0.2">
      <c r="A21" t="s">
        <v>187</v>
      </c>
      <c r="B21">
        <v>0</v>
      </c>
    </row>
    <row r="22" spans="1:2" x14ac:dyDescent="0.2">
      <c r="A22" t="s">
        <v>297</v>
      </c>
      <c r="B22">
        <v>7.6275264677574589E-2</v>
      </c>
    </row>
    <row r="23" spans="1:2" x14ac:dyDescent="0.2">
      <c r="A23" t="s">
        <v>299</v>
      </c>
      <c r="B23">
        <v>0.22169991106593823</v>
      </c>
    </row>
    <row r="24" spans="1:2" x14ac:dyDescent="0.2">
      <c r="A24" t="s">
        <v>348</v>
      </c>
      <c r="B24">
        <v>9.1612903225806452E-2</v>
      </c>
    </row>
    <row r="25" spans="1:2" x14ac:dyDescent="0.2">
      <c r="A25" t="s">
        <v>349</v>
      </c>
      <c r="B25">
        <v>0.16503965832824893</v>
      </c>
    </row>
    <row r="26" spans="1:2" x14ac:dyDescent="0.2">
      <c r="A26" t="s">
        <v>360</v>
      </c>
      <c r="B26">
        <v>0.14909328846513367</v>
      </c>
    </row>
    <row r="27" spans="1:2" x14ac:dyDescent="0.2">
      <c r="A27" t="s">
        <v>359</v>
      </c>
      <c r="B27">
        <v>0.19002519767138759</v>
      </c>
    </row>
    <row r="28" spans="1:2" x14ac:dyDescent="0.2">
      <c r="A28" t="s">
        <v>355</v>
      </c>
      <c r="B28">
        <v>0</v>
      </c>
    </row>
    <row r="29" spans="1:2" x14ac:dyDescent="0.2">
      <c r="A29" t="s">
        <v>137</v>
      </c>
      <c r="B29">
        <v>0.1530098651097242</v>
      </c>
    </row>
    <row r="30" spans="1:2" x14ac:dyDescent="0.2">
      <c r="A30" t="s">
        <v>133</v>
      </c>
      <c r="B30">
        <v>0.27155529272619749</v>
      </c>
    </row>
    <row r="31" spans="1:2" x14ac:dyDescent="0.2">
      <c r="A31" t="s">
        <v>134</v>
      </c>
      <c r="B31">
        <v>0.3126871132991817</v>
      </c>
    </row>
    <row r="32" spans="1:2" x14ac:dyDescent="0.2">
      <c r="A32" t="s">
        <v>142</v>
      </c>
      <c r="B32">
        <v>0.284629044988161</v>
      </c>
    </row>
    <row r="33" spans="1:2" x14ac:dyDescent="0.2">
      <c r="A33" t="s">
        <v>121</v>
      </c>
      <c r="B33">
        <v>0.30603821316823115</v>
      </c>
    </row>
    <row r="34" spans="1:2" x14ac:dyDescent="0.2">
      <c r="A34" t="s">
        <v>451</v>
      </c>
      <c r="B34">
        <v>0.26221610461114936</v>
      </c>
    </row>
    <row r="35" spans="1:2" x14ac:dyDescent="0.2">
      <c r="A35" t="s">
        <v>135</v>
      </c>
      <c r="B35">
        <v>0.29388068290811431</v>
      </c>
    </row>
    <row r="36" spans="1:2" x14ac:dyDescent="0.2">
      <c r="A36" t="s">
        <v>151</v>
      </c>
      <c r="B36">
        <v>0.12461885191568342</v>
      </c>
    </row>
    <row r="37" spans="1:2" x14ac:dyDescent="0.2">
      <c r="A37" t="s">
        <v>160</v>
      </c>
      <c r="B37">
        <v>0.13863568065711709</v>
      </c>
    </row>
    <row r="38" spans="1:2" x14ac:dyDescent="0.2">
      <c r="A38" t="s">
        <v>161</v>
      </c>
      <c r="B38">
        <v>0.15738341968911918</v>
      </c>
    </row>
    <row r="39" spans="1:2" x14ac:dyDescent="0.2">
      <c r="A39" t="s">
        <v>146</v>
      </c>
      <c r="B39">
        <v>0.12936033544473191</v>
      </c>
    </row>
    <row r="40" spans="1:2" x14ac:dyDescent="0.2">
      <c r="A40" t="s">
        <v>150</v>
      </c>
      <c r="B40">
        <v>0.10281151222758278</v>
      </c>
    </row>
    <row r="41" spans="1:2" x14ac:dyDescent="0.2">
      <c r="A41" t="s">
        <v>159</v>
      </c>
      <c r="B41">
        <v>0.11380672201176756</v>
      </c>
    </row>
    <row r="42" spans="1:2" x14ac:dyDescent="0.2">
      <c r="A42" t="s">
        <v>316</v>
      </c>
      <c r="B42">
        <v>6.0431100846805232E-2</v>
      </c>
    </row>
    <row r="43" spans="1:2" x14ac:dyDescent="0.2">
      <c r="A43" t="s">
        <v>321</v>
      </c>
      <c r="B43">
        <v>8.9481946624803771E-2</v>
      </c>
    </row>
    <row r="44" spans="1:2" x14ac:dyDescent="0.2">
      <c r="A44" t="s">
        <v>322</v>
      </c>
      <c r="B44">
        <v>7.5277596342259959E-2</v>
      </c>
    </row>
    <row r="45" spans="1:2" x14ac:dyDescent="0.2">
      <c r="A45" t="s">
        <v>338</v>
      </c>
      <c r="B45">
        <v>8.8310580204778152E-2</v>
      </c>
    </row>
    <row r="46" spans="1:2" x14ac:dyDescent="0.2">
      <c r="A46" t="s">
        <v>339</v>
      </c>
      <c r="B46">
        <v>9.1787439613526575E-2</v>
      </c>
    </row>
    <row r="47" spans="1:2" x14ac:dyDescent="0.2">
      <c r="A47" t="s">
        <v>318</v>
      </c>
      <c r="B47">
        <v>0.16018919984233346</v>
      </c>
    </row>
    <row r="48" spans="1:2" x14ac:dyDescent="0.2">
      <c r="A48" t="s">
        <v>317</v>
      </c>
      <c r="B48">
        <v>3.5285142094220866E-2</v>
      </c>
    </row>
    <row r="49" spans="1:2" x14ac:dyDescent="0.2">
      <c r="A49" t="s">
        <v>319</v>
      </c>
      <c r="B49">
        <v>0.12324572595049757</v>
      </c>
    </row>
    <row r="50" spans="1:2" x14ac:dyDescent="0.2">
      <c r="A50" t="s">
        <v>320</v>
      </c>
      <c r="B50">
        <v>0.15635710788314022</v>
      </c>
    </row>
    <row r="51" spans="1:2" x14ac:dyDescent="0.2">
      <c r="A51" t="s">
        <v>330</v>
      </c>
      <c r="B51">
        <v>0.19227776697140636</v>
      </c>
    </row>
    <row r="52" spans="1:2" x14ac:dyDescent="0.2">
      <c r="A52" t="s">
        <v>323</v>
      </c>
      <c r="B52">
        <v>0</v>
      </c>
    </row>
    <row r="53" spans="1:2" x14ac:dyDescent="0.2">
      <c r="A53" t="s">
        <v>233</v>
      </c>
      <c r="B53">
        <v>8.6588541666666671E-2</v>
      </c>
    </row>
    <row r="54" spans="1:2" x14ac:dyDescent="0.2">
      <c r="A54" t="s">
        <v>224</v>
      </c>
      <c r="B54">
        <v>8.38487972508591E-2</v>
      </c>
    </row>
    <row r="55" spans="1:2" x14ac:dyDescent="0.2">
      <c r="A55" t="s">
        <v>452</v>
      </c>
      <c r="B55">
        <v>4.3026004728132387E-2</v>
      </c>
    </row>
    <row r="56" spans="1:2" x14ac:dyDescent="0.2">
      <c r="A56" t="s">
        <v>216</v>
      </c>
      <c r="B56">
        <v>0.18202971183103633</v>
      </c>
    </row>
    <row r="57" spans="1:2" x14ac:dyDescent="0.2">
      <c r="A57" t="s">
        <v>220</v>
      </c>
      <c r="B57">
        <v>8.0921320831634738E-2</v>
      </c>
    </row>
    <row r="58" spans="1:2" x14ac:dyDescent="0.2">
      <c r="A58" t="s">
        <v>230</v>
      </c>
      <c r="B58">
        <v>0.11277383523603826</v>
      </c>
    </row>
    <row r="59" spans="1:2" x14ac:dyDescent="0.2">
      <c r="A59" t="s">
        <v>209</v>
      </c>
      <c r="B59">
        <v>0.18071206924710109</v>
      </c>
    </row>
    <row r="60" spans="1:2" x14ac:dyDescent="0.2">
      <c r="A60" t="s">
        <v>217</v>
      </c>
      <c r="B60">
        <v>0.19337979094076657</v>
      </c>
    </row>
    <row r="61" spans="1:2" x14ac:dyDescent="0.2">
      <c r="A61" t="s">
        <v>226</v>
      </c>
      <c r="B61">
        <v>0.16145281018027571</v>
      </c>
    </row>
    <row r="62" spans="1:2" x14ac:dyDescent="0.2">
      <c r="A62" t="s">
        <v>213</v>
      </c>
      <c r="B62">
        <v>0</v>
      </c>
    </row>
    <row r="63" spans="1:2" x14ac:dyDescent="0.2">
      <c r="A63" t="s">
        <v>207</v>
      </c>
      <c r="B63">
        <v>0.29385964912280704</v>
      </c>
    </row>
    <row r="64" spans="1:2" x14ac:dyDescent="0.2">
      <c r="A64" t="s">
        <v>212</v>
      </c>
      <c r="B64">
        <v>0</v>
      </c>
    </row>
    <row r="65" spans="1:2" x14ac:dyDescent="0.2">
      <c r="A65" t="s">
        <v>238</v>
      </c>
      <c r="B65">
        <v>0.15601703940362088</v>
      </c>
    </row>
    <row r="66" spans="1:2" x14ac:dyDescent="0.2">
      <c r="A66" t="s">
        <v>247</v>
      </c>
      <c r="B66">
        <v>0.20530673692133986</v>
      </c>
    </row>
    <row r="67" spans="1:2" x14ac:dyDescent="0.2">
      <c r="A67" t="s">
        <v>243</v>
      </c>
      <c r="B67">
        <v>0.15973571706179557</v>
      </c>
    </row>
    <row r="68" spans="1:2" x14ac:dyDescent="0.2">
      <c r="A68" t="s">
        <v>245</v>
      </c>
      <c r="B68">
        <v>0.18007083621285419</v>
      </c>
    </row>
    <row r="69" spans="1:2" x14ac:dyDescent="0.2">
      <c r="A69" t="s">
        <v>453</v>
      </c>
      <c r="B69">
        <v>0</v>
      </c>
    </row>
    <row r="70" spans="1:2" x14ac:dyDescent="0.2">
      <c r="A70" t="s">
        <v>370</v>
      </c>
      <c r="B70">
        <v>0.11683264512994899</v>
      </c>
    </row>
    <row r="71" spans="1:2" x14ac:dyDescent="0.2">
      <c r="A71" t="s">
        <v>454</v>
      </c>
      <c r="B71">
        <v>0</v>
      </c>
    </row>
    <row r="72" spans="1:2" x14ac:dyDescent="0.2">
      <c r="A72" t="s">
        <v>369</v>
      </c>
      <c r="B72">
        <v>0.16803874092009685</v>
      </c>
    </row>
    <row r="73" spans="1:2" x14ac:dyDescent="0.2">
      <c r="A73" t="s">
        <v>274</v>
      </c>
      <c r="B73">
        <v>9.8147546311342218E-2</v>
      </c>
    </row>
    <row r="74" spans="1:2" x14ac:dyDescent="0.2">
      <c r="A74" t="s">
        <v>268</v>
      </c>
      <c r="B74">
        <v>8.6059534335396398E-2</v>
      </c>
    </row>
    <row r="75" spans="1:2" x14ac:dyDescent="0.2">
      <c r="A75" t="s">
        <v>269</v>
      </c>
      <c r="B75">
        <v>0.16417090259651052</v>
      </c>
    </row>
    <row r="76" spans="1:2" x14ac:dyDescent="0.2">
      <c r="A76" t="s">
        <v>277</v>
      </c>
      <c r="B76">
        <v>0.20524664955802679</v>
      </c>
    </row>
    <row r="77" spans="1:2" x14ac:dyDescent="0.2">
      <c r="A77" t="s">
        <v>276</v>
      </c>
      <c r="B77">
        <v>0</v>
      </c>
    </row>
    <row r="78" spans="1:2" x14ac:dyDescent="0.2">
      <c r="A78" t="s">
        <v>266</v>
      </c>
      <c r="B78">
        <v>0.45692883895131087</v>
      </c>
    </row>
    <row r="79" spans="1:2" x14ac:dyDescent="0.2">
      <c r="A79" t="s">
        <v>278</v>
      </c>
      <c r="B79">
        <v>0.10060133268324395</v>
      </c>
    </row>
    <row r="80" spans="1:2" x14ac:dyDescent="0.2">
      <c r="A80" t="s">
        <v>254</v>
      </c>
      <c r="B80">
        <v>0.22374117110959219</v>
      </c>
    </row>
    <row r="81" spans="1:2" x14ac:dyDescent="0.2">
      <c r="A81" t="s">
        <v>255</v>
      </c>
      <c r="B81">
        <v>0.1291958041958042</v>
      </c>
    </row>
    <row r="82" spans="1:2" x14ac:dyDescent="0.2">
      <c r="A82" t="s">
        <v>308</v>
      </c>
      <c r="B82">
        <v>1</v>
      </c>
    </row>
    <row r="83" spans="1:2" x14ac:dyDescent="0.2">
      <c r="A83" t="s">
        <v>309</v>
      </c>
      <c r="B83">
        <v>1</v>
      </c>
    </row>
    <row r="84" spans="1:2" x14ac:dyDescent="0.2">
      <c r="A84" t="s">
        <v>307</v>
      </c>
      <c r="B84">
        <v>1</v>
      </c>
    </row>
    <row r="85" spans="1:2" x14ac:dyDescent="0.2">
      <c r="A85" t="s">
        <v>306</v>
      </c>
      <c r="B85">
        <v>1</v>
      </c>
    </row>
    <row r="86" spans="1:2" x14ac:dyDescent="0.2">
      <c r="A86" t="s">
        <v>312</v>
      </c>
      <c r="B86">
        <v>1</v>
      </c>
    </row>
    <row r="87" spans="1:2" x14ac:dyDescent="0.2">
      <c r="A87" t="s">
        <v>364</v>
      </c>
      <c r="B87">
        <v>1</v>
      </c>
    </row>
    <row r="88" spans="1:2" x14ac:dyDescent="0.2">
      <c r="A88" t="s">
        <v>455</v>
      </c>
      <c r="B88">
        <v>0</v>
      </c>
    </row>
    <row r="89" spans="1:2" x14ac:dyDescent="0.2">
      <c r="A89" t="s">
        <v>456</v>
      </c>
      <c r="B89">
        <v>0.12661660408844388</v>
      </c>
    </row>
    <row r="90" spans="1:2" x14ac:dyDescent="0.2">
      <c r="A90" t="s">
        <v>457</v>
      </c>
      <c r="B90">
        <v>0</v>
      </c>
    </row>
    <row r="91" spans="1:2" x14ac:dyDescent="0.2">
      <c r="A91" t="s">
        <v>458</v>
      </c>
      <c r="B91">
        <v>0.11644951140065146</v>
      </c>
    </row>
    <row r="92" spans="1:2" x14ac:dyDescent="0.2">
      <c r="A92" t="s">
        <v>459</v>
      </c>
      <c r="B92">
        <v>0</v>
      </c>
    </row>
    <row r="93" spans="1:2" x14ac:dyDescent="0.2">
      <c r="A93" t="s">
        <v>460</v>
      </c>
      <c r="B93">
        <v>8.2191780821917804E-2</v>
      </c>
    </row>
    <row r="94" spans="1:2" x14ac:dyDescent="0.2">
      <c r="A94" t="s">
        <v>461</v>
      </c>
      <c r="B94">
        <v>0</v>
      </c>
    </row>
    <row r="95" spans="1:2" x14ac:dyDescent="0.2">
      <c r="A95" t="s">
        <v>462</v>
      </c>
      <c r="B95">
        <v>7.4388059701492537E-2</v>
      </c>
    </row>
    <row r="96" spans="1:2" x14ac:dyDescent="0.2">
      <c r="A96" t="s">
        <v>463</v>
      </c>
      <c r="B96">
        <v>9.438808270193913E-2</v>
      </c>
    </row>
    <row r="97" spans="1:2" x14ac:dyDescent="0.2">
      <c r="A97" t="s">
        <v>464</v>
      </c>
      <c r="B97">
        <v>0</v>
      </c>
    </row>
    <row r="98" spans="1:2" x14ac:dyDescent="0.2">
      <c r="A98" t="s">
        <v>465</v>
      </c>
      <c r="B98">
        <v>0</v>
      </c>
    </row>
    <row r="99" spans="1:2" x14ac:dyDescent="0.2">
      <c r="A99" t="s">
        <v>466</v>
      </c>
      <c r="B99">
        <v>0</v>
      </c>
    </row>
    <row r="100" spans="1:2" x14ac:dyDescent="0.2">
      <c r="A100" t="s">
        <v>467</v>
      </c>
      <c r="B100">
        <v>5.4474708171206226E-2</v>
      </c>
    </row>
    <row r="101" spans="1:2" x14ac:dyDescent="0.2">
      <c r="A101" t="s">
        <v>468</v>
      </c>
      <c r="B101">
        <v>0.13324518877625974</v>
      </c>
    </row>
    <row r="102" spans="1:2" x14ac:dyDescent="0.2">
      <c r="A102" t="s">
        <v>469</v>
      </c>
      <c r="B102">
        <v>3.580379520229144E-2</v>
      </c>
    </row>
    <row r="103" spans="1:2" x14ac:dyDescent="0.2">
      <c r="A103" t="s">
        <v>470</v>
      </c>
      <c r="B103">
        <v>0.15887850467289719</v>
      </c>
    </row>
    <row r="104" spans="1:2" x14ac:dyDescent="0.2">
      <c r="A104" t="s">
        <v>471</v>
      </c>
      <c r="B104">
        <v>0.20899698665518723</v>
      </c>
    </row>
    <row r="105" spans="1:2" x14ac:dyDescent="0.2">
      <c r="A105" t="s">
        <v>472</v>
      </c>
      <c r="B105">
        <v>9.2914755653961734E-2</v>
      </c>
    </row>
    <row r="106" spans="1:2" x14ac:dyDescent="0.2">
      <c r="A106" t="s">
        <v>473</v>
      </c>
      <c r="B106">
        <v>0.12463436347450083</v>
      </c>
    </row>
    <row r="107" spans="1:2" x14ac:dyDescent="0.2">
      <c r="A107" t="s">
        <v>474</v>
      </c>
      <c r="B107">
        <v>0</v>
      </c>
    </row>
    <row r="108" spans="1:2" x14ac:dyDescent="0.2">
      <c r="A108" t="s">
        <v>475</v>
      </c>
      <c r="B108">
        <v>0.1745877788554801</v>
      </c>
    </row>
    <row r="109" spans="1:2" x14ac:dyDescent="0.2">
      <c r="A109" t="s">
        <v>476</v>
      </c>
      <c r="B109">
        <v>0</v>
      </c>
    </row>
    <row r="110" spans="1:2" x14ac:dyDescent="0.2">
      <c r="A110" t="s">
        <v>477</v>
      </c>
      <c r="B110">
        <v>0</v>
      </c>
    </row>
    <row r="111" spans="1:2" x14ac:dyDescent="0.2">
      <c r="A111" t="s">
        <v>478</v>
      </c>
      <c r="B111">
        <v>0</v>
      </c>
    </row>
    <row r="112" spans="1:2" x14ac:dyDescent="0.2">
      <c r="A112" t="s">
        <v>479</v>
      </c>
      <c r="B112">
        <v>0</v>
      </c>
    </row>
    <row r="113" spans="1:2" x14ac:dyDescent="0.2">
      <c r="A113" t="s">
        <v>480</v>
      </c>
      <c r="B113">
        <v>0.16159052453468697</v>
      </c>
    </row>
    <row r="114" spans="1:2" x14ac:dyDescent="0.2">
      <c r="A114" t="s">
        <v>481</v>
      </c>
      <c r="B114">
        <v>0</v>
      </c>
    </row>
    <row r="115" spans="1:2" x14ac:dyDescent="0.2">
      <c r="A115" t="s">
        <v>482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B9" sqref="B9"/>
    </sheetView>
  </sheetViews>
  <sheetFormatPr baseColWidth="10" defaultColWidth="34.83203125" defaultRowHeight="15" x14ac:dyDescent="0.2"/>
  <cols>
    <col min="1" max="1" width="35.5" bestFit="1" customWidth="1"/>
    <col min="2" max="2" width="34.5" bestFit="1" customWidth="1"/>
    <col min="3" max="3" width="38" bestFit="1" customWidth="1"/>
    <col min="4" max="4" width="33.33203125" bestFit="1" customWidth="1"/>
    <col min="5" max="5" width="37.5" bestFit="1" customWidth="1"/>
    <col min="6" max="6" width="39" bestFit="1" customWidth="1"/>
    <col min="7" max="7" width="36" bestFit="1" customWidth="1"/>
    <col min="8" max="8" width="20.83203125" bestFit="1" customWidth="1"/>
    <col min="9" max="9" width="38.1640625" bestFit="1" customWidth="1"/>
    <col min="10" max="11" width="35" bestFit="1" customWidth="1"/>
    <col min="12" max="12" width="33.83203125" bestFit="1" customWidth="1"/>
    <col min="13" max="13" width="37" bestFit="1" customWidth="1"/>
    <col min="14" max="14" width="51" bestFit="1" customWidth="1"/>
    <col min="15" max="15" width="23.5" bestFit="1" customWidth="1"/>
    <col min="16" max="16" width="36.6640625" bestFit="1" customWidth="1"/>
    <col min="17" max="17" width="34.33203125" bestFit="1" customWidth="1"/>
    <col min="18" max="18" width="31.83203125" bestFit="1" customWidth="1"/>
    <col min="19" max="19" width="25.1640625" bestFit="1" customWidth="1"/>
    <col min="20" max="20" width="42.5" bestFit="1" customWidth="1"/>
    <col min="21" max="21" width="40.1640625" bestFit="1" customWidth="1"/>
    <col min="22" max="22" width="32.33203125" bestFit="1" customWidth="1"/>
    <col min="23" max="23" width="56.1640625" bestFit="1" customWidth="1"/>
    <col min="24" max="24" width="41.1640625" bestFit="1" customWidth="1"/>
    <col min="25" max="26" width="28.5" bestFit="1" customWidth="1"/>
    <col min="27" max="27" width="40.6640625" bestFit="1" customWidth="1"/>
    <col min="28" max="28" width="51.33203125" bestFit="1" customWidth="1"/>
    <col min="29" max="29" width="23.83203125" bestFit="1" customWidth="1"/>
    <col min="30" max="30" width="21.5" bestFit="1" customWidth="1"/>
    <col min="31" max="31" width="41.5" bestFit="1" customWidth="1"/>
    <col min="32" max="32" width="44.83203125" bestFit="1" customWidth="1"/>
    <col min="33" max="33" width="34.5" bestFit="1" customWidth="1"/>
    <col min="34" max="34" width="23" bestFit="1" customWidth="1"/>
    <col min="35" max="35" width="25.83203125" bestFit="1" customWidth="1"/>
    <col min="36" max="36" width="32.1640625" bestFit="1" customWidth="1"/>
    <col min="37" max="37" width="43.83203125" bestFit="1" customWidth="1"/>
    <col min="38" max="38" width="19.5" bestFit="1" customWidth="1"/>
    <col min="39" max="39" width="22.33203125" bestFit="1" customWidth="1"/>
    <col min="40" max="40" width="22.83203125" bestFit="1" customWidth="1"/>
    <col min="41" max="41" width="32.5" bestFit="1" customWidth="1"/>
    <col min="42" max="42" width="40.5" bestFit="1" customWidth="1"/>
    <col min="43" max="43" width="30.6640625" bestFit="1" customWidth="1"/>
    <col min="44" max="44" width="39.6640625" bestFit="1" customWidth="1"/>
    <col min="45" max="45" width="9.5" bestFit="1" customWidth="1"/>
  </cols>
  <sheetData>
    <row r="1" spans="1:45" x14ac:dyDescent="0.2">
      <c r="A1" s="80" t="s">
        <v>120</v>
      </c>
      <c r="B1" s="80" t="s">
        <v>145</v>
      </c>
      <c r="C1" s="80" t="s">
        <v>163</v>
      </c>
      <c r="D1" s="80" t="s">
        <v>177</v>
      </c>
      <c r="E1" s="80" t="s">
        <v>189</v>
      </c>
      <c r="F1" s="80" t="s">
        <v>205</v>
      </c>
      <c r="G1" s="80" t="s">
        <v>237</v>
      </c>
      <c r="H1" s="80" t="s">
        <v>253</v>
      </c>
      <c r="I1" s="80" t="s">
        <v>257</v>
      </c>
      <c r="J1" s="80" t="s">
        <v>263</v>
      </c>
      <c r="K1" s="80" t="s">
        <v>280</v>
      </c>
      <c r="L1" s="80" t="s">
        <v>289</v>
      </c>
      <c r="M1" s="80" t="s">
        <v>295</v>
      </c>
      <c r="N1" s="80" t="s">
        <v>304</v>
      </c>
      <c r="O1" s="80" t="s">
        <v>311</v>
      </c>
      <c r="P1" s="80" t="s">
        <v>314</v>
      </c>
      <c r="Q1" s="80" t="s">
        <v>343</v>
      </c>
      <c r="R1" s="80" t="s">
        <v>353</v>
      </c>
      <c r="S1" s="80" t="s">
        <v>363</v>
      </c>
      <c r="T1" s="80" t="s">
        <v>366</v>
      </c>
      <c r="U1" s="80" t="s">
        <v>372</v>
      </c>
      <c r="V1" s="80" t="s">
        <v>375</v>
      </c>
      <c r="W1" s="80" t="s">
        <v>378</v>
      </c>
      <c r="X1" s="80" t="s">
        <v>379</v>
      </c>
      <c r="Y1" s="80" t="s">
        <v>382</v>
      </c>
      <c r="Z1" s="80" t="s">
        <v>385</v>
      </c>
      <c r="AA1" s="80" t="s">
        <v>386</v>
      </c>
      <c r="AB1" s="80" t="s">
        <v>387</v>
      </c>
      <c r="AC1" s="80" t="s">
        <v>388</v>
      </c>
      <c r="AD1" s="80" t="s">
        <v>391</v>
      </c>
      <c r="AE1" s="80" t="s">
        <v>395</v>
      </c>
      <c r="AF1" s="80" t="s">
        <v>396</v>
      </c>
      <c r="AG1" s="80" t="s">
        <v>399</v>
      </c>
      <c r="AH1" s="80" t="s">
        <v>400</v>
      </c>
      <c r="AI1" s="80" t="s">
        <v>403</v>
      </c>
      <c r="AJ1" s="80" t="s">
        <v>404</v>
      </c>
      <c r="AK1" s="80" t="s">
        <v>407</v>
      </c>
      <c r="AL1" s="80" t="s">
        <v>411</v>
      </c>
      <c r="AM1" s="80" t="s">
        <v>415</v>
      </c>
      <c r="AN1" s="80" t="s">
        <v>420</v>
      </c>
      <c r="AO1" s="80" t="s">
        <v>425</v>
      </c>
      <c r="AP1" s="80" t="s">
        <v>428</v>
      </c>
      <c r="AQ1" s="80" t="s">
        <v>431</v>
      </c>
      <c r="AR1" s="80" t="s">
        <v>435</v>
      </c>
      <c r="AS1" s="80" t="s">
        <v>19</v>
      </c>
    </row>
    <row r="2" spans="1:45" x14ac:dyDescent="0.2">
      <c r="A2" s="80" t="s">
        <v>121</v>
      </c>
      <c r="B2" s="80" t="s">
        <v>146</v>
      </c>
      <c r="C2" s="80" t="s">
        <v>164</v>
      </c>
      <c r="D2" s="80" t="s">
        <v>178</v>
      </c>
      <c r="E2" s="80" t="s">
        <v>190</v>
      </c>
      <c r="F2" s="80" t="s">
        <v>206</v>
      </c>
      <c r="G2" s="80" t="s">
        <v>238</v>
      </c>
      <c r="H2" s="80" t="s">
        <v>254</v>
      </c>
      <c r="I2" s="80" t="s">
        <v>258</v>
      </c>
      <c r="J2" s="80" t="s">
        <v>264</v>
      </c>
      <c r="K2" s="80" t="s">
        <v>281</v>
      </c>
      <c r="L2" s="80" t="s">
        <v>290</v>
      </c>
      <c r="M2" s="80" t="s">
        <v>296</v>
      </c>
      <c r="N2" s="80" t="s">
        <v>305</v>
      </c>
      <c r="O2" s="80" t="s">
        <v>312</v>
      </c>
      <c r="P2" s="80" t="s">
        <v>315</v>
      </c>
      <c r="Q2" s="80" t="s">
        <v>344</v>
      </c>
      <c r="R2" s="80" t="s">
        <v>354</v>
      </c>
      <c r="S2" s="80" t="s">
        <v>364</v>
      </c>
      <c r="T2" s="80" t="s">
        <v>367</v>
      </c>
      <c r="U2" s="99" t="s">
        <v>373</v>
      </c>
      <c r="V2" s="80" t="s">
        <v>376</v>
      </c>
      <c r="W2" s="80" t="s">
        <v>378</v>
      </c>
      <c r="X2" s="80" t="s">
        <v>380</v>
      </c>
      <c r="Y2" s="80" t="s">
        <v>383</v>
      </c>
      <c r="Z2" s="80" t="s">
        <v>385</v>
      </c>
      <c r="AA2" s="80" t="s">
        <v>386</v>
      </c>
      <c r="AB2" s="80" t="s">
        <v>387</v>
      </c>
      <c r="AC2" s="80" t="s">
        <v>389</v>
      </c>
      <c r="AD2" s="80" t="s">
        <v>392</v>
      </c>
      <c r="AE2" s="80" t="s">
        <v>395</v>
      </c>
      <c r="AF2" s="80" t="s">
        <v>397</v>
      </c>
      <c r="AG2" s="80" t="s">
        <v>399</v>
      </c>
      <c r="AH2" s="80" t="s">
        <v>401</v>
      </c>
      <c r="AI2" s="80" t="s">
        <v>403</v>
      </c>
      <c r="AJ2" s="80" t="s">
        <v>405</v>
      </c>
      <c r="AK2" s="80" t="s">
        <v>408</v>
      </c>
      <c r="AL2" s="80" t="s">
        <v>412</v>
      </c>
      <c r="AM2" s="80" t="s">
        <v>416</v>
      </c>
      <c r="AN2" s="80" t="s">
        <v>421</v>
      </c>
      <c r="AO2" s="80" t="s">
        <v>426</v>
      </c>
      <c r="AP2" s="80" t="s">
        <v>429</v>
      </c>
      <c r="AQ2" s="80" t="s">
        <v>432</v>
      </c>
      <c r="AR2" s="80" t="s">
        <v>435</v>
      </c>
      <c r="AS2" s="80" t="s">
        <v>19</v>
      </c>
    </row>
    <row r="3" spans="1:45" x14ac:dyDescent="0.2">
      <c r="A3" s="80" t="s">
        <v>123</v>
      </c>
      <c r="B3" s="80" t="s">
        <v>147</v>
      </c>
      <c r="C3" s="80" t="s">
        <v>165</v>
      </c>
      <c r="D3" s="80" t="s">
        <v>179</v>
      </c>
      <c r="E3" s="80" t="s">
        <v>191</v>
      </c>
      <c r="F3" s="80" t="s">
        <v>207</v>
      </c>
      <c r="G3" s="80" t="s">
        <v>239</v>
      </c>
      <c r="H3" s="80" t="s">
        <v>255</v>
      </c>
      <c r="I3" s="80" t="s">
        <v>259</v>
      </c>
      <c r="J3" s="80" t="s">
        <v>265</v>
      </c>
      <c r="K3" s="80" t="s">
        <v>282</v>
      </c>
      <c r="L3" s="80" t="s">
        <v>291</v>
      </c>
      <c r="M3" s="80" t="s">
        <v>297</v>
      </c>
      <c r="N3" s="80" t="s">
        <v>306</v>
      </c>
      <c r="O3" s="80" t="s">
        <v>313</v>
      </c>
      <c r="P3" s="80" t="s">
        <v>316</v>
      </c>
      <c r="Q3" s="80" t="s">
        <v>345</v>
      </c>
      <c r="R3" s="80" t="s">
        <v>355</v>
      </c>
      <c r="S3" s="80" t="s">
        <v>365</v>
      </c>
      <c r="T3" s="80" t="s">
        <v>368</v>
      </c>
      <c r="U3" s="99" t="s">
        <v>374</v>
      </c>
      <c r="V3" s="80" t="s">
        <v>377</v>
      </c>
      <c r="X3" s="80" t="s">
        <v>381</v>
      </c>
      <c r="Y3" s="80" t="s">
        <v>384</v>
      </c>
      <c r="AC3" s="80" t="s">
        <v>390</v>
      </c>
      <c r="AD3" s="80" t="s">
        <v>393</v>
      </c>
      <c r="AF3" s="80" t="s">
        <v>398</v>
      </c>
      <c r="AH3" s="80" t="s">
        <v>402</v>
      </c>
      <c r="AJ3" s="80" t="s">
        <v>406</v>
      </c>
      <c r="AK3" s="80" t="s">
        <v>409</v>
      </c>
      <c r="AL3" s="80" t="s">
        <v>413</v>
      </c>
      <c r="AM3" s="80" t="s">
        <v>417</v>
      </c>
      <c r="AN3" s="80" t="s">
        <v>422</v>
      </c>
      <c r="AO3" s="80" t="s">
        <v>427</v>
      </c>
      <c r="AP3" s="80" t="s">
        <v>430</v>
      </c>
      <c r="AQ3" s="80" t="s">
        <v>433</v>
      </c>
    </row>
    <row r="4" spans="1:45" x14ac:dyDescent="0.2">
      <c r="A4" s="80" t="s">
        <v>124</v>
      </c>
      <c r="B4" s="80" t="s">
        <v>148</v>
      </c>
      <c r="C4" s="80" t="s">
        <v>166</v>
      </c>
      <c r="D4" s="80" t="s">
        <v>180</v>
      </c>
      <c r="E4" s="80" t="s">
        <v>192</v>
      </c>
      <c r="F4" s="80" t="s">
        <v>208</v>
      </c>
      <c r="G4" s="80" t="s">
        <v>240</v>
      </c>
      <c r="H4" s="80" t="s">
        <v>256</v>
      </c>
      <c r="I4" s="80" t="s">
        <v>260</v>
      </c>
      <c r="J4" s="80" t="s">
        <v>266</v>
      </c>
      <c r="K4" s="80" t="s">
        <v>283</v>
      </c>
      <c r="L4" s="80" t="s">
        <v>292</v>
      </c>
      <c r="M4" s="80" t="s">
        <v>298</v>
      </c>
      <c r="N4" s="80" t="s">
        <v>307</v>
      </c>
      <c r="P4" s="80" t="s">
        <v>317</v>
      </c>
      <c r="Q4" s="80" t="s">
        <v>346</v>
      </c>
      <c r="R4" s="80" t="s">
        <v>356</v>
      </c>
      <c r="T4" s="80" t="s">
        <v>369</v>
      </c>
      <c r="U4" s="80" t="s">
        <v>372</v>
      </c>
      <c r="V4" s="80" t="s">
        <v>375</v>
      </c>
      <c r="X4" s="80" t="s">
        <v>379</v>
      </c>
      <c r="Y4" s="80" t="s">
        <v>382</v>
      </c>
      <c r="AC4" s="80" t="s">
        <v>388</v>
      </c>
      <c r="AD4" s="80" t="s">
        <v>394</v>
      </c>
      <c r="AF4" s="80" t="s">
        <v>396</v>
      </c>
      <c r="AH4" s="80" t="s">
        <v>400</v>
      </c>
      <c r="AJ4" s="80" t="s">
        <v>404</v>
      </c>
      <c r="AK4" s="80" t="s">
        <v>410</v>
      </c>
      <c r="AL4" s="80" t="s">
        <v>414</v>
      </c>
      <c r="AM4" s="80" t="s">
        <v>418</v>
      </c>
      <c r="AN4" s="80" t="s">
        <v>423</v>
      </c>
      <c r="AO4" s="80" t="s">
        <v>425</v>
      </c>
      <c r="AP4" s="80" t="s">
        <v>428</v>
      </c>
      <c r="AQ4" s="80" t="s">
        <v>434</v>
      </c>
    </row>
    <row r="5" spans="1:45" x14ac:dyDescent="0.2">
      <c r="A5" s="80" t="s">
        <v>125</v>
      </c>
      <c r="B5" s="80" t="s">
        <v>149</v>
      </c>
      <c r="C5" s="80" t="s">
        <v>167</v>
      </c>
      <c r="D5" s="80" t="s">
        <v>181</v>
      </c>
      <c r="E5" s="80" t="s">
        <v>193</v>
      </c>
      <c r="F5" s="80" t="s">
        <v>209</v>
      </c>
      <c r="G5" s="80" t="s">
        <v>241</v>
      </c>
      <c r="I5" s="80" t="s">
        <v>261</v>
      </c>
      <c r="J5" s="80" t="s">
        <v>267</v>
      </c>
      <c r="K5" s="80" t="s">
        <v>284</v>
      </c>
      <c r="L5" s="80" t="s">
        <v>293</v>
      </c>
      <c r="M5" s="80" t="s">
        <v>299</v>
      </c>
      <c r="N5" s="80" t="s">
        <v>308</v>
      </c>
      <c r="P5" s="80" t="s">
        <v>318</v>
      </c>
      <c r="Q5" s="80" t="s">
        <v>347</v>
      </c>
      <c r="R5" s="80" t="s">
        <v>357</v>
      </c>
      <c r="T5" s="80" t="s">
        <v>370</v>
      </c>
      <c r="AD5" s="80" t="s">
        <v>391</v>
      </c>
      <c r="AK5" s="80" t="s">
        <v>407</v>
      </c>
      <c r="AL5" s="80" t="s">
        <v>411</v>
      </c>
      <c r="AM5" s="80" t="s">
        <v>419</v>
      </c>
      <c r="AN5" s="80" t="s">
        <v>424</v>
      </c>
      <c r="AQ5" s="80" t="s">
        <v>431</v>
      </c>
    </row>
    <row r="6" spans="1:45" x14ac:dyDescent="0.2">
      <c r="A6" s="80" t="s">
        <v>126</v>
      </c>
      <c r="B6" s="80" t="s">
        <v>150</v>
      </c>
      <c r="C6" s="80" t="s">
        <v>168</v>
      </c>
      <c r="D6" s="80" t="s">
        <v>182</v>
      </c>
      <c r="E6" s="80" t="s">
        <v>194</v>
      </c>
      <c r="F6" s="80" t="s">
        <v>210</v>
      </c>
      <c r="G6" s="80" t="s">
        <v>242</v>
      </c>
      <c r="I6" s="80" t="s">
        <v>262</v>
      </c>
      <c r="J6" s="80" t="s">
        <v>268</v>
      </c>
      <c r="K6" s="80" t="s">
        <v>285</v>
      </c>
      <c r="L6" s="80" t="s">
        <v>294</v>
      </c>
      <c r="M6" s="80" t="s">
        <v>300</v>
      </c>
      <c r="N6" s="80" t="s">
        <v>309</v>
      </c>
      <c r="P6" s="80" t="s">
        <v>319</v>
      </c>
      <c r="Q6" s="80" t="s">
        <v>348</v>
      </c>
      <c r="R6" s="80" t="s">
        <v>358</v>
      </c>
      <c r="T6" s="80" t="s">
        <v>371</v>
      </c>
      <c r="AM6" s="80" t="s">
        <v>415</v>
      </c>
      <c r="AN6" s="80" t="s">
        <v>420</v>
      </c>
    </row>
    <row r="7" spans="1:45" x14ac:dyDescent="0.2">
      <c r="A7" s="80" t="s">
        <v>127</v>
      </c>
      <c r="B7" s="80" t="s">
        <v>151</v>
      </c>
      <c r="C7" s="80" t="s">
        <v>169</v>
      </c>
      <c r="D7" s="80" t="s">
        <v>183</v>
      </c>
      <c r="E7" s="80" t="s">
        <v>195</v>
      </c>
      <c r="F7" s="80" t="s">
        <v>211</v>
      </c>
      <c r="G7" s="80" t="s">
        <v>243</v>
      </c>
      <c r="J7" s="80" t="s">
        <v>269</v>
      </c>
      <c r="K7" s="80" t="s">
        <v>286</v>
      </c>
      <c r="M7" s="80" t="s">
        <v>301</v>
      </c>
      <c r="N7" s="80" t="s">
        <v>310</v>
      </c>
      <c r="P7" s="80" t="s">
        <v>320</v>
      </c>
      <c r="Q7" s="80" t="s">
        <v>349</v>
      </c>
      <c r="R7" s="80" t="s">
        <v>359</v>
      </c>
    </row>
    <row r="8" spans="1:45" x14ac:dyDescent="0.2">
      <c r="A8" s="80" t="s">
        <v>128</v>
      </c>
      <c r="B8" s="80" t="s">
        <v>152</v>
      </c>
      <c r="C8" s="80" t="s">
        <v>170</v>
      </c>
      <c r="D8" s="80" t="s">
        <v>184</v>
      </c>
      <c r="E8" s="80" t="s">
        <v>196</v>
      </c>
      <c r="F8" s="80" t="s">
        <v>212</v>
      </c>
      <c r="G8" s="80" t="s">
        <v>244</v>
      </c>
      <c r="J8" s="80" t="s">
        <v>270</v>
      </c>
      <c r="K8" s="80" t="s">
        <v>287</v>
      </c>
      <c r="M8" s="80" t="s">
        <v>302</v>
      </c>
      <c r="P8" s="80" t="s">
        <v>321</v>
      </c>
      <c r="Q8" s="80" t="s">
        <v>350</v>
      </c>
      <c r="R8" s="80" t="s">
        <v>360</v>
      </c>
    </row>
    <row r="9" spans="1:45" x14ac:dyDescent="0.2">
      <c r="A9" s="80" t="s">
        <v>129</v>
      </c>
      <c r="B9" s="80" t="s">
        <v>153</v>
      </c>
      <c r="C9" s="80" t="s">
        <v>171</v>
      </c>
      <c r="D9" s="80" t="s">
        <v>185</v>
      </c>
      <c r="E9" s="80" t="s">
        <v>197</v>
      </c>
      <c r="F9" s="80" t="s">
        <v>213</v>
      </c>
      <c r="G9" s="80" t="s">
        <v>245</v>
      </c>
      <c r="J9" s="80" t="s">
        <v>271</v>
      </c>
      <c r="K9" s="80" t="s">
        <v>288</v>
      </c>
      <c r="M9" s="80" t="s">
        <v>303</v>
      </c>
      <c r="P9" s="80" t="s">
        <v>322</v>
      </c>
      <c r="Q9" s="80" t="s">
        <v>351</v>
      </c>
      <c r="R9" s="80" t="s">
        <v>361</v>
      </c>
    </row>
    <row r="10" spans="1:45" x14ac:dyDescent="0.2">
      <c r="A10" s="80" t="s">
        <v>130</v>
      </c>
      <c r="B10" s="80" t="s">
        <v>154</v>
      </c>
      <c r="C10" s="80" t="s">
        <v>172</v>
      </c>
      <c r="D10" s="80" t="s">
        <v>186</v>
      </c>
      <c r="E10" s="80" t="s">
        <v>198</v>
      </c>
      <c r="F10" s="80" t="s">
        <v>214</v>
      </c>
      <c r="G10" s="80" t="s">
        <v>246</v>
      </c>
      <c r="J10" s="80" t="s">
        <v>272</v>
      </c>
      <c r="P10" s="80" t="s">
        <v>323</v>
      </c>
      <c r="Q10" s="80" t="s">
        <v>352</v>
      </c>
      <c r="R10" s="80" t="s">
        <v>362</v>
      </c>
    </row>
    <row r="11" spans="1:45" x14ac:dyDescent="0.2">
      <c r="A11" s="80" t="s">
        <v>131</v>
      </c>
      <c r="B11" s="80" t="s">
        <v>155</v>
      </c>
      <c r="C11" s="80" t="s">
        <v>173</v>
      </c>
      <c r="D11" s="80" t="s">
        <v>187</v>
      </c>
      <c r="E11" s="80" t="s">
        <v>199</v>
      </c>
      <c r="F11" s="80" t="s">
        <v>215</v>
      </c>
      <c r="G11" s="80" t="s">
        <v>247</v>
      </c>
      <c r="J11" s="80" t="s">
        <v>273</v>
      </c>
      <c r="P11" s="80" t="s">
        <v>324</v>
      </c>
    </row>
    <row r="12" spans="1:45" x14ac:dyDescent="0.2">
      <c r="A12" s="80" t="s">
        <v>132</v>
      </c>
      <c r="B12" s="80" t="s">
        <v>156</v>
      </c>
      <c r="C12" s="80" t="s">
        <v>174</v>
      </c>
      <c r="D12" s="80" t="s">
        <v>188</v>
      </c>
      <c r="E12" s="80" t="s">
        <v>200</v>
      </c>
      <c r="F12" s="80" t="s">
        <v>216</v>
      </c>
      <c r="G12" s="80" t="s">
        <v>248</v>
      </c>
      <c r="J12" s="80" t="s">
        <v>274</v>
      </c>
      <c r="P12" s="80" t="s">
        <v>325</v>
      </c>
    </row>
    <row r="13" spans="1:45" x14ac:dyDescent="0.2">
      <c r="A13" s="80" t="s">
        <v>133</v>
      </c>
      <c r="B13" s="80" t="s">
        <v>157</v>
      </c>
      <c r="C13" s="80" t="s">
        <v>175</v>
      </c>
      <c r="D13" s="80"/>
      <c r="E13" s="80" t="s">
        <v>201</v>
      </c>
      <c r="F13" s="80" t="s">
        <v>217</v>
      </c>
      <c r="G13" s="80" t="s">
        <v>249</v>
      </c>
      <c r="J13" s="80" t="s">
        <v>275</v>
      </c>
      <c r="P13" s="80" t="s">
        <v>326</v>
      </c>
    </row>
    <row r="14" spans="1:45" x14ac:dyDescent="0.2">
      <c r="A14" s="80" t="s">
        <v>134</v>
      </c>
      <c r="B14" s="80" t="s">
        <v>158</v>
      </c>
      <c r="C14" s="80" t="s">
        <v>176</v>
      </c>
      <c r="D14" s="80"/>
      <c r="E14" s="80" t="s">
        <v>202</v>
      </c>
      <c r="F14" s="80" t="s">
        <v>218</v>
      </c>
      <c r="G14" s="80" t="s">
        <v>250</v>
      </c>
      <c r="J14" s="80" t="s">
        <v>276</v>
      </c>
      <c r="P14" s="80" t="s">
        <v>327</v>
      </c>
    </row>
    <row r="15" spans="1:45" x14ac:dyDescent="0.2">
      <c r="A15" s="80" t="s">
        <v>135</v>
      </c>
      <c r="B15" s="80" t="s">
        <v>159</v>
      </c>
      <c r="D15" s="80"/>
      <c r="E15" s="80" t="s">
        <v>203</v>
      </c>
      <c r="F15" s="80" t="s">
        <v>219</v>
      </c>
      <c r="G15" s="80" t="s">
        <v>251</v>
      </c>
      <c r="J15" s="80" t="s">
        <v>277</v>
      </c>
      <c r="P15" s="80" t="s">
        <v>328</v>
      </c>
    </row>
    <row r="16" spans="1:45" x14ac:dyDescent="0.2">
      <c r="A16" s="80" t="s">
        <v>136</v>
      </c>
      <c r="B16" s="80" t="s">
        <v>160</v>
      </c>
      <c r="D16" s="80"/>
      <c r="E16" s="80" t="s">
        <v>204</v>
      </c>
      <c r="F16" s="80" t="s">
        <v>220</v>
      </c>
      <c r="G16" s="80" t="s">
        <v>252</v>
      </c>
      <c r="J16" s="80" t="s">
        <v>278</v>
      </c>
      <c r="P16" s="80" t="s">
        <v>329</v>
      </c>
    </row>
    <row r="17" spans="1:16" x14ac:dyDescent="0.2">
      <c r="A17" s="80" t="s">
        <v>137</v>
      </c>
      <c r="B17" s="80" t="s">
        <v>161</v>
      </c>
      <c r="F17" s="80" t="s">
        <v>221</v>
      </c>
      <c r="J17" s="80" t="s">
        <v>279</v>
      </c>
      <c r="P17" s="80" t="s">
        <v>330</v>
      </c>
    </row>
    <row r="18" spans="1:16" x14ac:dyDescent="0.2">
      <c r="A18" s="80" t="s">
        <v>138</v>
      </c>
      <c r="B18" s="80" t="s">
        <v>162</v>
      </c>
      <c r="F18" s="80" t="s">
        <v>222</v>
      </c>
      <c r="P18" s="80" t="s">
        <v>331</v>
      </c>
    </row>
    <row r="19" spans="1:16" x14ac:dyDescent="0.2">
      <c r="A19" s="80" t="s">
        <v>139</v>
      </c>
      <c r="F19" s="80" t="s">
        <v>223</v>
      </c>
      <c r="P19" s="80" t="s">
        <v>332</v>
      </c>
    </row>
    <row r="20" spans="1:16" x14ac:dyDescent="0.2">
      <c r="A20" s="80" t="s">
        <v>140</v>
      </c>
      <c r="F20" s="80" t="s">
        <v>224</v>
      </c>
      <c r="P20" s="80" t="s">
        <v>333</v>
      </c>
    </row>
    <row r="21" spans="1:16" x14ac:dyDescent="0.2">
      <c r="A21" s="80" t="s">
        <v>141</v>
      </c>
      <c r="F21" s="80" t="s">
        <v>225</v>
      </c>
      <c r="P21" s="80" t="s">
        <v>334</v>
      </c>
    </row>
    <row r="22" spans="1:16" x14ac:dyDescent="0.2">
      <c r="A22" s="80" t="s">
        <v>142</v>
      </c>
      <c r="F22" s="80" t="s">
        <v>226</v>
      </c>
      <c r="P22" s="80" t="s">
        <v>335</v>
      </c>
    </row>
    <row r="23" spans="1:16" x14ac:dyDescent="0.2">
      <c r="A23" s="80" t="s">
        <v>143</v>
      </c>
      <c r="F23" s="80" t="s">
        <v>227</v>
      </c>
      <c r="P23" s="80" t="s">
        <v>336</v>
      </c>
    </row>
    <row r="24" spans="1:16" x14ac:dyDescent="0.2">
      <c r="F24" s="80" t="s">
        <v>228</v>
      </c>
      <c r="P24" s="80" t="s">
        <v>337</v>
      </c>
    </row>
    <row r="25" spans="1:16" x14ac:dyDescent="0.2">
      <c r="F25" s="80" t="s">
        <v>229</v>
      </c>
      <c r="P25" s="80" t="s">
        <v>338</v>
      </c>
    </row>
    <row r="26" spans="1:16" x14ac:dyDescent="0.2">
      <c r="F26" s="80" t="s">
        <v>230</v>
      </c>
      <c r="P26" s="80" t="s">
        <v>339</v>
      </c>
    </row>
    <row r="27" spans="1:16" x14ac:dyDescent="0.2">
      <c r="F27" s="80" t="s">
        <v>231</v>
      </c>
      <c r="P27" s="80" t="s">
        <v>340</v>
      </c>
    </row>
    <row r="28" spans="1:16" x14ac:dyDescent="0.2">
      <c r="F28" s="80" t="s">
        <v>232</v>
      </c>
      <c r="P28" s="80" t="s">
        <v>341</v>
      </c>
    </row>
    <row r="29" spans="1:16" x14ac:dyDescent="0.2">
      <c r="F29" s="80" t="s">
        <v>233</v>
      </c>
      <c r="P29" s="80" t="s">
        <v>342</v>
      </c>
    </row>
    <row r="30" spans="1:16" x14ac:dyDescent="0.2">
      <c r="F30" s="80" t="s">
        <v>234</v>
      </c>
    </row>
    <row r="31" spans="1:16" x14ac:dyDescent="0.2">
      <c r="F31" s="80" t="s">
        <v>235</v>
      </c>
    </row>
    <row r="32" spans="1:16" x14ac:dyDescent="0.2">
      <c r="F32" s="80" t="s">
        <v>236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FF5B6AD-FB8C-4EFE-8639-DB20CFDA79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D0F394-D150-41B6-843B-3EED97760A87}"/>
</file>

<file path=customXml/itemProps3.xml><?xml version="1.0" encoding="utf-8"?>
<ds:datastoreItem xmlns:ds="http://schemas.openxmlformats.org/officeDocument/2006/customXml" ds:itemID="{F83BE38A-10E4-4FF5-8591-1E8D41828840}">
  <ds:schemaRefs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b35d76b5-5d08-482f-923f-9030b1b76ea8"/>
    <ds:schemaRef ds:uri="9dce4fa2-7878-486a-9f3d-7f52f1bf003d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Manager/>
  <Company>Polytech School District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JOHNSON, NICHOLAS</dc:creator>
  <cp:keywords/>
  <dc:description/>
  <cp:lastModifiedBy>Wesley Wei</cp:lastModifiedBy>
  <cp:revision/>
  <dcterms:created xsi:type="dcterms:W3CDTF">2025-09-22T14:24:22Z</dcterms:created>
  <dcterms:modified xsi:type="dcterms:W3CDTF">2026-07-20T14:00:11Z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0x0101005461E8E4F7969D4C8BCB20B321513B3F</vt:lpwstr>
  </property>
  <property fmtid="{D5CDD505-2E9C-101B-9397-08002B2CF9AE}" pid="3" name="MediaServiceImageTags">
    <vt:lpwstr/>
  </property>
</Properties>
</file>