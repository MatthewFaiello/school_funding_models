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k12de.sharepoint.com/sites/Finance/Shared Documents/General/State Funds/State Entitlements/FY 2026/Cafeteria/"/>
    </mc:Choice>
  </mc:AlternateContent>
  <xr:revisionPtr revIDLastSave="159" documentId="8_{ED356451-F68E-4F9B-9063-B43E9BD61E19}" xr6:coauthVersionLast="47" xr6:coauthVersionMax="47" xr10:uidLastSave="{F27F0414-6D26-4A88-B35C-DEA3FE3B816F}"/>
  <bookViews>
    <workbookView xWindow="-120" yWindow="-120" windowWidth="29040" windowHeight="15720" xr2:uid="{00000000-000D-0000-FFFF-FFFF00000000}"/>
  </bookViews>
  <sheets>
    <sheet name="FY26 Cafeteria" sheetId="3" r:id="rId1"/>
  </sheets>
  <definedNames>
    <definedName name="_xlnm.Print_Area" localSheetId="0">'FY26 Cafeteria'!$A$1:$P$27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3" l="1"/>
  <c r="H15" i="3"/>
  <c r="G15" i="3"/>
  <c r="H21" i="3"/>
  <c r="G21" i="3"/>
  <c r="M11" i="3"/>
  <c r="H11" i="3"/>
  <c r="G11" i="3"/>
  <c r="M16" i="3"/>
  <c r="H16" i="3"/>
  <c r="G16" i="3"/>
  <c r="H23" i="3"/>
  <c r="G23" i="3"/>
  <c r="M17" i="3"/>
  <c r="H17" i="3"/>
  <c r="G17" i="3"/>
  <c r="N14" i="3"/>
  <c r="P14" i="3" s="1"/>
  <c r="M10" i="3"/>
  <c r="H10" i="3"/>
  <c r="G10" i="3"/>
  <c r="H8" i="3"/>
  <c r="G8" i="3"/>
  <c r="H6" i="3"/>
  <c r="G6" i="3"/>
  <c r="H22" i="3" l="1"/>
  <c r="G22" i="3"/>
  <c r="H7" i="3"/>
  <c r="G7" i="3"/>
  <c r="H18" i="3"/>
  <c r="G18" i="3"/>
  <c r="M20" i="3"/>
  <c r="H20" i="3"/>
  <c r="G20" i="3"/>
  <c r="M14" i="3"/>
  <c r="H14" i="3"/>
  <c r="G14" i="3"/>
  <c r="J12" i="3"/>
  <c r="H19" i="3"/>
  <c r="G19" i="3"/>
  <c r="H12" i="3"/>
  <c r="G12" i="3"/>
  <c r="F12" i="3"/>
  <c r="C26" i="3"/>
  <c r="H24" i="3"/>
  <c r="G24" i="3"/>
  <c r="H13" i="3"/>
  <c r="G13" i="3"/>
  <c r="M9" i="3"/>
  <c r="H9" i="3"/>
  <c r="G9" i="3"/>
  <c r="J6" i="3" l="1"/>
  <c r="I6" i="3"/>
  <c r="I9" i="3" l="1"/>
  <c r="I20" i="3" l="1"/>
  <c r="J20" i="3" s="1"/>
  <c r="L13" i="3" l="1"/>
  <c r="I14" i="3" l="1"/>
  <c r="J14" i="3" s="1"/>
  <c r="M26" i="3" l="1"/>
  <c r="O26" i="3"/>
  <c r="I23" i="3"/>
  <c r="J23" i="3" s="1"/>
  <c r="I11" i="3"/>
  <c r="J11" i="3" s="1"/>
  <c r="I22" i="3"/>
  <c r="J22" i="3" s="1"/>
  <c r="I13" i="3"/>
  <c r="J13" i="3" s="1"/>
  <c r="I8" i="3"/>
  <c r="J8" i="3" s="1"/>
  <c r="I19" i="3"/>
  <c r="J19" i="3" s="1"/>
  <c r="I7" i="3"/>
  <c r="J7" i="3" s="1"/>
  <c r="I12" i="3"/>
  <c r="I16" i="3"/>
  <c r="J16" i="3" s="1"/>
  <c r="I21" i="3"/>
  <c r="J21" i="3" s="1"/>
  <c r="I18" i="3"/>
  <c r="J18" i="3" s="1"/>
  <c r="L7" i="3"/>
  <c r="L8" i="3"/>
  <c r="L9" i="3"/>
  <c r="L10" i="3"/>
  <c r="L11" i="3"/>
  <c r="L12" i="3"/>
  <c r="L14" i="3"/>
  <c r="L15" i="3"/>
  <c r="L16" i="3"/>
  <c r="L17" i="3"/>
  <c r="L18" i="3"/>
  <c r="L19" i="3"/>
  <c r="L20" i="3"/>
  <c r="L21" i="3"/>
  <c r="L22" i="3"/>
  <c r="L23" i="3"/>
  <c r="L24" i="3"/>
  <c r="J9" i="3"/>
  <c r="I15" i="3"/>
  <c r="J15" i="3" s="1"/>
  <c r="I17" i="3"/>
  <c r="J17" i="3" s="1"/>
  <c r="E7" i="3"/>
  <c r="F7" i="3" s="1"/>
  <c r="E8" i="3"/>
  <c r="F8" i="3" s="1"/>
  <c r="E9" i="3"/>
  <c r="F9" i="3" s="1"/>
  <c r="E10" i="3"/>
  <c r="F10" i="3" s="1"/>
  <c r="E11" i="3"/>
  <c r="F11" i="3" s="1"/>
  <c r="E12" i="3"/>
  <c r="E13" i="3"/>
  <c r="F13" i="3" s="1"/>
  <c r="E14" i="3"/>
  <c r="F14" i="3" s="1"/>
  <c r="E15" i="3"/>
  <c r="F15" i="3" s="1"/>
  <c r="E16" i="3"/>
  <c r="F16" i="3" s="1"/>
  <c r="E17" i="3"/>
  <c r="F17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K26" i="3"/>
  <c r="L6" i="3"/>
  <c r="N6" i="3" s="1"/>
  <c r="E6" i="3"/>
  <c r="F6" i="3" s="1"/>
  <c r="I24" i="3"/>
  <c r="J24" i="3" s="1"/>
  <c r="I10" i="3"/>
  <c r="J10" i="3" s="1"/>
  <c r="G26" i="3"/>
  <c r="H26" i="3"/>
  <c r="N18" i="3" l="1"/>
  <c r="P18" i="3" s="1"/>
  <c r="N15" i="3"/>
  <c r="P15" i="3" s="1"/>
  <c r="N16" i="3"/>
  <c r="P16" i="3" s="1"/>
  <c r="N19" i="3"/>
  <c r="P19" i="3" s="1"/>
  <c r="N24" i="3"/>
  <c r="P24" i="3" s="1"/>
  <c r="N13" i="3"/>
  <c r="P13" i="3" s="1"/>
  <c r="N12" i="3"/>
  <c r="P12" i="3" s="1"/>
  <c r="N23" i="3"/>
  <c r="P23" i="3" s="1"/>
  <c r="N22" i="3"/>
  <c r="P22" i="3" s="1"/>
  <c r="N11" i="3"/>
  <c r="P11" i="3" s="1"/>
  <c r="N9" i="3"/>
  <c r="P9" i="3" s="1"/>
  <c r="N8" i="3"/>
  <c r="P8" i="3" s="1"/>
  <c r="N20" i="3"/>
  <c r="P20" i="3" s="1"/>
  <c r="N21" i="3"/>
  <c r="P21" i="3" s="1"/>
  <c r="N17" i="3"/>
  <c r="P17" i="3" s="1"/>
  <c r="N7" i="3"/>
  <c r="P7" i="3" s="1"/>
  <c r="L26" i="3"/>
  <c r="N10" i="3"/>
  <c r="P10" i="3" s="1"/>
  <c r="J26" i="3"/>
  <c r="I26" i="3"/>
  <c r="E26" i="3"/>
  <c r="F26" i="3" s="1"/>
  <c r="N26" i="3" l="1"/>
  <c r="P6" i="3"/>
  <c r="P26" i="3" s="1"/>
</calcChain>
</file>

<file path=xl/sharedStrings.xml><?xml version="1.0" encoding="utf-8"?>
<sst xmlns="http://schemas.openxmlformats.org/spreadsheetml/2006/main" count="60" uniqueCount="53">
  <si>
    <t>REQUESTED</t>
  </si>
  <si>
    <t>TOTAL</t>
  </si>
  <si>
    <t>HOURS</t>
  </si>
  <si>
    <t>AMOUNT</t>
  </si>
  <si>
    <t>STATE</t>
  </si>
  <si>
    <t>DISTRICT</t>
  </si>
  <si>
    <t>MEALS</t>
  </si>
  <si>
    <t>BASE MONTH</t>
  </si>
  <si>
    <t># OF MEALS</t>
  </si>
  <si>
    <t>ALLOWED</t>
  </si>
  <si>
    <t>PER DAY</t>
  </si>
  <si>
    <t>LIABILITY</t>
  </si>
  <si>
    <t>SALARIES</t>
  </si>
  <si>
    <t>WKRS &amp; MGRS</t>
  </si>
  <si>
    <t>ALLOCATION</t>
  </si>
  <si>
    <t>DUE</t>
  </si>
  <si>
    <t>APPOQUINIMINK</t>
  </si>
  <si>
    <t>BRANDYWINE</t>
  </si>
  <si>
    <t>CHRISTINA</t>
  </si>
  <si>
    <t>COLONIAL</t>
  </si>
  <si>
    <t>RED CLAY</t>
  </si>
  <si>
    <t>CAESAR RODNEY</t>
  </si>
  <si>
    <t>CAPITAL</t>
  </si>
  <si>
    <t>LAKE FOREST</t>
  </si>
  <si>
    <t>MILFORD</t>
  </si>
  <si>
    <t>SMYRNA</t>
  </si>
  <si>
    <t>CAPE HENLOPEN</t>
  </si>
  <si>
    <t>DELMAR</t>
  </si>
  <si>
    <t>INDIAN RIVER</t>
  </si>
  <si>
    <t>LAUREL</t>
  </si>
  <si>
    <t>SEAFORD</t>
  </si>
  <si>
    <t>WOODBRIDGE</t>
  </si>
  <si>
    <t>NCCVT</t>
  </si>
  <si>
    <t xml:space="preserve"> </t>
  </si>
  <si>
    <t>POLYTECH</t>
  </si>
  <si>
    <t>Notes:</t>
  </si>
  <si>
    <t>Total Amount for General &amp; Cook</t>
  </si>
  <si>
    <t>Total Hours for General &amp; Cook</t>
  </si>
  <si>
    <t>SUSSEX VT</t>
  </si>
  <si>
    <t>MANAGER</t>
  </si>
  <si>
    <t>Worker</t>
  </si>
  <si>
    <t>Manager</t>
  </si>
  <si>
    <t>#5 on district form</t>
  </si>
  <si>
    <t>#6 on district form</t>
  </si>
  <si>
    <t>REQUESTED TERMINATION PAY - STATE</t>
  </si>
  <si>
    <t>PORTION</t>
  </si>
  <si>
    <t xml:space="preserve">  FY 2026 CAFETERIA ENTITLEMENT</t>
  </si>
  <si>
    <t>FY26 TOTAL</t>
  </si>
  <si>
    <t>FY26 NUMBER OF DAYS IN</t>
  </si>
  <si>
    <t>FY26 AVERAGE</t>
  </si>
  <si>
    <t>FY26 TOTAL STATE ALLOCATION</t>
  </si>
  <si>
    <t>FY26 90% PRELOAD</t>
  </si>
  <si>
    <t>FY26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</si>
</sst>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</numFmts>
  <fonts count="8">
    <font>
      <sz val="10"/>
      <name val="Geneva"/>
    </font>
    <font>
      <sz val="10"/>
      <name val="MS Sans Serif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Geneva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" fontId="1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Protection="1">
      <protection locked="0"/>
    </xf>
    <xf numFmtId="1" fontId="2" fillId="0" borderId="0" xfId="0" applyNumberFormat="1" applyFont="1" applyProtection="1">
      <protection locked="0"/>
    </xf>
    <xf numFmtId="2" fontId="2" fillId="0" borderId="0" xfId="0" applyNumberFormat="1" applyFont="1" applyProtection="1">
      <protection locked="0"/>
    </xf>
    <xf numFmtId="0" fontId="3" fillId="0" borderId="1" xfId="0" applyFont="1" applyBorder="1" applyAlignment="1" applyProtection="1">
      <alignment horizontal="center"/>
      <protection locked="0"/>
    </xf>
    <xf numFmtId="5" fontId="2" fillId="0" borderId="0" xfId="0" applyNumberFormat="1" applyFont="1" applyProtection="1">
      <protection locked="0"/>
    </xf>
    <xf numFmtId="0" fontId="2" fillId="0" borderId="0" xfId="0" applyFont="1"/>
    <xf numFmtId="1" fontId="2" fillId="0" borderId="0" xfId="0" applyNumberFormat="1" applyFont="1" applyAlignment="1" applyProtection="1">
      <alignment horizontal="center"/>
      <protection locked="0"/>
    </xf>
    <xf numFmtId="9" fontId="4" fillId="0" borderId="2" xfId="0" applyNumberFormat="1" applyFont="1" applyBorder="1" applyAlignment="1" applyProtection="1">
      <alignment horizontal="center"/>
      <protection locked="0"/>
    </xf>
    <xf numFmtId="5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1" fontId="2" fillId="0" borderId="0" xfId="0" applyNumberFormat="1" applyFont="1" applyAlignment="1" applyProtection="1">
      <alignment horizontal="center" wrapText="1"/>
      <protection locked="0"/>
    </xf>
    <xf numFmtId="2" fontId="2" fillId="0" borderId="0" xfId="0" applyNumberFormat="1" applyFont="1" applyAlignment="1" applyProtection="1">
      <alignment horizontal="center"/>
      <protection locked="0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 applyProtection="1">
      <alignment horizontal="center"/>
      <protection locked="0"/>
    </xf>
    <xf numFmtId="1" fontId="2" fillId="0" borderId="3" xfId="0" applyNumberFormat="1" applyFont="1" applyBorder="1" applyAlignment="1" applyProtection="1">
      <alignment horizontal="center"/>
      <protection locked="0"/>
    </xf>
    <xf numFmtId="2" fontId="2" fillId="0" borderId="3" xfId="0" applyNumberFormat="1" applyFont="1" applyBorder="1" applyAlignment="1" applyProtection="1">
      <alignment horizontal="center"/>
      <protection locked="0"/>
    </xf>
    <xf numFmtId="3" fontId="2" fillId="0" borderId="0" xfId="0" applyNumberFormat="1" applyFont="1" applyAlignment="1" applyProtection="1">
      <alignment horizontal="center"/>
      <protection locked="0"/>
    </xf>
    <xf numFmtId="0" fontId="2" fillId="0" borderId="3" xfId="0" applyFont="1" applyBorder="1"/>
    <xf numFmtId="40" fontId="2" fillId="0" borderId="0" xfId="0" applyNumberFormat="1" applyFont="1" applyProtection="1">
      <protection locked="0"/>
    </xf>
    <xf numFmtId="8" fontId="2" fillId="0" borderId="0" xfId="0" applyNumberFormat="1" applyFont="1" applyProtection="1">
      <protection locked="0"/>
    </xf>
    <xf numFmtId="7" fontId="2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40" fontId="5" fillId="0" borderId="0" xfId="0" applyNumberFormat="1" applyFont="1" applyProtection="1">
      <protection locked="0"/>
    </xf>
    <xf numFmtId="8" fontId="5" fillId="0" borderId="0" xfId="0" applyNumberFormat="1" applyFont="1" applyAlignment="1" applyProtection="1">
      <alignment wrapText="1"/>
      <protection locked="0"/>
    </xf>
    <xf numFmtId="8" fontId="5" fillId="0" borderId="0" xfId="0" applyNumberFormat="1" applyFont="1" applyAlignment="1" applyProtection="1">
      <alignment horizontal="center" wrapText="1"/>
      <protection locked="0"/>
    </xf>
    <xf numFmtId="2" fontId="6" fillId="0" borderId="0" xfId="0" applyNumberFormat="1" applyFont="1" applyProtection="1"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5" fillId="0" borderId="0" xfId="0" applyFont="1" applyAlignment="1" applyProtection="1">
      <alignment wrapText="1"/>
      <protection locked="0"/>
    </xf>
    <xf numFmtId="1" fontId="5" fillId="0" borderId="0" xfId="0" applyNumberFormat="1" applyFont="1" applyAlignment="1" applyProtection="1">
      <alignment wrapText="1"/>
      <protection locked="0"/>
    </xf>
    <xf numFmtId="5" fontId="3" fillId="2" borderId="0" xfId="0" applyNumberFormat="1" applyFont="1" applyFill="1" applyAlignment="1" applyProtection="1">
      <alignment horizontal="center"/>
      <protection locked="0"/>
    </xf>
    <xf numFmtId="5" fontId="3" fillId="2" borderId="3" xfId="0" applyNumberFormat="1" applyFont="1" applyFill="1" applyBorder="1" applyAlignment="1" applyProtection="1">
      <alignment horizontal="center"/>
      <protection locked="0"/>
    </xf>
    <xf numFmtId="5" fontId="3" fillId="2" borderId="0" xfId="0" applyNumberFormat="1" applyFont="1" applyFill="1" applyAlignment="1" applyProtection="1">
      <alignment horizontal="right"/>
      <protection locked="0"/>
    </xf>
    <xf numFmtId="0" fontId="2" fillId="0" borderId="0" xfId="0" applyFont="1" applyAlignment="1" applyProtection="1">
      <alignment horizontal="center" wrapText="1"/>
      <protection locked="0"/>
    </xf>
    <xf numFmtId="0" fontId="3" fillId="0" borderId="0" xfId="0" applyFont="1" applyAlignment="1" applyProtection="1">
      <alignment horizontal="center"/>
      <protection locked="0"/>
    </xf>
    <xf numFmtId="9" fontId="4" fillId="0" borderId="0" xfId="0" applyNumberFormat="1" applyFont="1" applyAlignment="1" applyProtection="1">
      <alignment horizontal="center"/>
      <protection locked="0"/>
    </xf>
    <xf numFmtId="6" fontId="3" fillId="2" borderId="0" xfId="0" applyNumberFormat="1" applyFont="1" applyFill="1" applyAlignment="1" applyProtection="1">
      <alignment horizontal="right"/>
      <protection locked="0"/>
    </xf>
    <xf numFmtId="6" fontId="3" fillId="2" borderId="3" xfId="0" applyNumberFormat="1" applyFont="1" applyFill="1" applyBorder="1" applyAlignment="1" applyProtection="1">
      <alignment horizontal="right"/>
      <protection locked="0"/>
    </xf>
    <xf numFmtId="43" fontId="2" fillId="0" borderId="0" xfId="2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wrapText="1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2" fillId="0" borderId="0" xfId="0" applyFont="1" applyFill="1" applyAlignment="1">
      <alignment horizontal="left"/>
    </xf>
    <xf numFmtId="0" fontId="2" fillId="0" borderId="0" xfId="0" applyFont="1" applyFill="1" applyProtection="1">
      <protection locked="0"/>
    </xf>
    <xf numFmtId="3" fontId="2" fillId="0" borderId="0" xfId="0" applyNumberFormat="1" applyFont="1" applyFill="1" applyAlignment="1" applyProtection="1">
      <alignment horizontal="center"/>
      <protection locked="0"/>
    </xf>
    <xf numFmtId="1" fontId="2" fillId="0" borderId="0" xfId="0" applyNumberFormat="1" applyFont="1" applyFill="1" applyAlignment="1" applyProtection="1">
      <alignment horizontal="center"/>
      <protection locked="0"/>
    </xf>
    <xf numFmtId="4" fontId="2" fillId="0" borderId="0" xfId="0" applyNumberFormat="1" applyFont="1" applyFill="1" applyAlignment="1" applyProtection="1">
      <alignment horizontal="center"/>
      <protection locked="0"/>
    </xf>
    <xf numFmtId="40" fontId="2" fillId="0" borderId="0" xfId="0" applyNumberFormat="1" applyFont="1" applyFill="1" applyAlignment="1" applyProtection="1">
      <alignment horizontal="center"/>
      <protection locked="0"/>
    </xf>
    <xf numFmtId="6" fontId="3" fillId="0" borderId="0" xfId="0" applyNumberFormat="1" applyFont="1" applyFill="1" applyAlignment="1" applyProtection="1">
      <alignment horizontal="right"/>
      <protection locked="0"/>
    </xf>
    <xf numFmtId="5" fontId="2" fillId="0" borderId="0" xfId="0" applyNumberFormat="1" applyFont="1" applyFill="1" applyAlignment="1" applyProtection="1">
      <alignment horizontal="right"/>
      <protection locked="0"/>
    </xf>
    <xf numFmtId="0" fontId="2" fillId="0" borderId="3" xfId="0" applyFont="1" applyFill="1" applyBorder="1" applyAlignment="1">
      <alignment horizontal="left"/>
    </xf>
    <xf numFmtId="0" fontId="2" fillId="0" borderId="3" xfId="0" applyFont="1" applyFill="1" applyBorder="1" applyProtection="1">
      <protection locked="0"/>
    </xf>
    <xf numFmtId="3" fontId="2" fillId="0" borderId="3" xfId="0" applyNumberFormat="1" applyFont="1" applyFill="1" applyBorder="1" applyAlignment="1" applyProtection="1">
      <alignment horizontal="center"/>
      <protection locked="0"/>
    </xf>
    <xf numFmtId="1" fontId="2" fillId="0" borderId="3" xfId="0" applyNumberFormat="1" applyFont="1" applyFill="1" applyBorder="1" applyAlignment="1" applyProtection="1">
      <alignment horizontal="center"/>
      <protection locked="0"/>
    </xf>
    <xf numFmtId="4" fontId="2" fillId="0" borderId="3" xfId="0" applyNumberFormat="1" applyFont="1" applyFill="1" applyBorder="1" applyAlignment="1" applyProtection="1">
      <alignment horizontal="center"/>
      <protection locked="0"/>
    </xf>
    <xf numFmtId="40" fontId="2" fillId="0" borderId="3" xfId="0" applyNumberFormat="1" applyFont="1" applyFill="1" applyBorder="1" applyAlignment="1" applyProtection="1">
      <alignment horizontal="center"/>
      <protection locked="0"/>
    </xf>
    <xf numFmtId="5" fontId="2" fillId="0" borderId="3" xfId="0" applyNumberFormat="1" applyFont="1" applyFill="1" applyBorder="1" applyAlignment="1" applyProtection="1">
      <alignment horizontal="center"/>
      <protection locked="0"/>
    </xf>
    <xf numFmtId="6" fontId="3" fillId="0" borderId="3" xfId="0" applyNumberFormat="1" applyFont="1" applyFill="1" applyBorder="1" applyAlignment="1" applyProtection="1">
      <alignment horizontal="right"/>
      <protection locked="0"/>
    </xf>
    <xf numFmtId="5" fontId="2" fillId="0" borderId="3" xfId="0" applyNumberFormat="1" applyFont="1" applyFill="1" applyBorder="1" applyAlignment="1" applyProtection="1">
      <alignment horizontal="right"/>
      <protection locked="0"/>
    </xf>
    <xf numFmtId="2" fontId="2" fillId="0" borderId="0" xfId="0" applyNumberFormat="1" applyFont="1" applyFill="1" applyAlignment="1" applyProtection="1">
      <alignment horizontal="center"/>
      <protection locked="0"/>
    </xf>
    <xf numFmtId="0" fontId="2" fillId="0" borderId="0" xfId="0" applyFont="1" applyFill="1" applyAlignment="1" applyProtection="1">
      <alignment horizontal="center"/>
      <protection locked="0"/>
    </xf>
    <xf numFmtId="5" fontId="2" fillId="0" borderId="0" xfId="0" applyNumberFormat="1" applyFont="1" applyFill="1" applyAlignment="1" applyProtection="1">
      <alignment horizontal="center" wrapText="1"/>
      <protection locked="0"/>
    </xf>
    <xf numFmtId="5" fontId="3" fillId="0" borderId="0" xfId="0" applyNumberFormat="1" applyFont="1" applyFill="1" applyAlignment="1" applyProtection="1">
      <alignment horizontal="right"/>
      <protection locked="0"/>
    </xf>
  </cellXfs>
  <cellStyles count="3">
    <cellStyle name="Comma" xfId="2" builtinId="3"/>
    <cellStyle name="Normal" xfId="0" builtinId="0"/>
    <cellStyle name="PSDec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1"/>
  <sheetViews>
    <sheetView tabSelected="1" zoomScaleNormal="100" workbookViewId="0">
      <pane xSplit="2" ySplit="4" topLeftCell="C5" activePane="bottomRight" state="frozen"/>
      <selection pane="topRight" activeCell="B1" sqref="B1"/>
      <selection pane="bottomLeft" activeCell="A5" sqref="A5"/>
      <selection pane="bottomRight" activeCell="O3" sqref="O3"/>
    </sheetView>
  </sheetViews>
  <sheetFormatPr defaultColWidth="11.5703125" defaultRowHeight="15"/>
  <cols>
    <col min="1" max="1" width="5" style="1" bestFit="1" customWidth="1"/>
    <col min="2" max="2" width="17.140625" style="2" customWidth="1"/>
    <col min="3" max="3" width="10.140625" style="2" bestFit="1" customWidth="1"/>
    <col min="4" max="4" width="13.28515625" style="3" customWidth="1"/>
    <col min="5" max="5" width="12.140625" style="2" customWidth="1"/>
    <col min="6" max="6" width="11" style="4" customWidth="1"/>
    <col min="7" max="7" width="12.7109375" style="4" customWidth="1"/>
    <col min="8" max="8" width="12.7109375" style="2" customWidth="1"/>
    <col min="9" max="9" width="11" style="2" customWidth="1"/>
    <col min="10" max="10" width="10.85546875" style="2" customWidth="1"/>
    <col min="11" max="11" width="12" style="2" customWidth="1"/>
    <col min="12" max="12" width="11.5703125" style="2" customWidth="1"/>
    <col min="13" max="13" width="14.140625" style="2" customWidth="1"/>
    <col min="14" max="14" width="14.85546875" style="2" bestFit="1" customWidth="1"/>
    <col min="15" max="15" width="15.42578125" style="6" customWidth="1"/>
    <col min="16" max="16" width="16.7109375" style="6" customWidth="1"/>
    <col min="17" max="16384" width="11.5703125" style="7"/>
  </cols>
  <sheetData>
    <row r="1" spans="1:16" ht="15.75">
      <c r="D1" s="27" t="s">
        <v>46</v>
      </c>
      <c r="J1" s="5" t="s">
        <v>40</v>
      </c>
      <c r="L1" s="5" t="s">
        <v>41</v>
      </c>
      <c r="M1" s="35"/>
    </row>
    <row r="2" spans="1:16" ht="15.75" thickBot="1">
      <c r="D2" s="8"/>
      <c r="J2" s="9">
        <v>0.62</v>
      </c>
      <c r="L2" s="9">
        <v>0.73</v>
      </c>
      <c r="M2" s="36"/>
    </row>
    <row r="3" spans="1:16" ht="45">
      <c r="B3" s="11"/>
      <c r="C3" s="11" t="s">
        <v>47</v>
      </c>
      <c r="D3" s="12" t="s">
        <v>48</v>
      </c>
      <c r="E3" s="34" t="s">
        <v>49</v>
      </c>
      <c r="F3" s="13" t="s">
        <v>2</v>
      </c>
      <c r="G3" s="13" t="s">
        <v>2</v>
      </c>
      <c r="H3" s="11" t="s">
        <v>3</v>
      </c>
      <c r="I3" s="11" t="s">
        <v>1</v>
      </c>
      <c r="J3" s="11" t="s">
        <v>4</v>
      </c>
      <c r="K3" s="11" t="s">
        <v>39</v>
      </c>
      <c r="L3" s="11" t="s">
        <v>4</v>
      </c>
      <c r="M3" s="34" t="s">
        <v>44</v>
      </c>
      <c r="N3" s="40" t="s">
        <v>50</v>
      </c>
      <c r="O3" s="62" t="s">
        <v>51</v>
      </c>
      <c r="P3" s="31" t="s">
        <v>52</v>
      </c>
    </row>
    <row r="4" spans="1:16">
      <c r="A4" s="14"/>
      <c r="B4" s="28" t="s">
        <v>5</v>
      </c>
      <c r="C4" s="15" t="s">
        <v>6</v>
      </c>
      <c r="D4" s="16" t="s">
        <v>7</v>
      </c>
      <c r="E4" s="15" t="s">
        <v>8</v>
      </c>
      <c r="F4" s="17" t="s">
        <v>9</v>
      </c>
      <c r="G4" s="17" t="s">
        <v>0</v>
      </c>
      <c r="H4" s="15" t="s">
        <v>10</v>
      </c>
      <c r="I4" s="15" t="s">
        <v>3</v>
      </c>
      <c r="J4" s="15" t="s">
        <v>11</v>
      </c>
      <c r="K4" s="15" t="s">
        <v>12</v>
      </c>
      <c r="L4" s="15" t="s">
        <v>11</v>
      </c>
      <c r="M4" s="15" t="s">
        <v>45</v>
      </c>
      <c r="N4" s="41" t="s">
        <v>13</v>
      </c>
      <c r="O4" s="57" t="s">
        <v>14</v>
      </c>
      <c r="P4" s="32" t="s">
        <v>15</v>
      </c>
    </row>
    <row r="5" spans="1:16">
      <c r="N5" s="42"/>
      <c r="O5" s="63"/>
      <c r="P5" s="33"/>
    </row>
    <row r="6" spans="1:16">
      <c r="A6" s="43">
        <v>1000</v>
      </c>
      <c r="B6" s="44" t="s">
        <v>21</v>
      </c>
      <c r="C6" s="45">
        <v>211852.76</v>
      </c>
      <c r="D6" s="46">
        <v>22</v>
      </c>
      <c r="E6" s="45">
        <f t="shared" ref="E6:E24" si="0">C6/D6</f>
        <v>9629.6709090909098</v>
      </c>
      <c r="F6" s="47">
        <f>ROUND(E6/100*7,0)</f>
        <v>674</v>
      </c>
      <c r="G6" s="47">
        <f>544.25+112.5</f>
        <v>656.75</v>
      </c>
      <c r="H6" s="48">
        <f>9016.72+2102.25</f>
        <v>11118.97</v>
      </c>
      <c r="I6" s="45">
        <f>ROUND(H6*185,0)</f>
        <v>2057009</v>
      </c>
      <c r="J6" s="45">
        <f>ROUND(I6*$J$2,0)</f>
        <v>1275346</v>
      </c>
      <c r="K6" s="45">
        <v>397690</v>
      </c>
      <c r="L6" s="45">
        <f>ROUND(K6*$L$2,0)</f>
        <v>290314</v>
      </c>
      <c r="M6" s="45">
        <v>0</v>
      </c>
      <c r="N6" s="49">
        <f>ROUND(J6+L6+M6,0)</f>
        <v>1565660</v>
      </c>
      <c r="O6" s="50">
        <v>1266539</v>
      </c>
      <c r="P6" s="37">
        <f>N6-O6</f>
        <v>299121</v>
      </c>
    </row>
    <row r="7" spans="1:16">
      <c r="A7" s="43">
        <v>1300</v>
      </c>
      <c r="B7" s="44" t="s">
        <v>22</v>
      </c>
      <c r="C7" s="45">
        <v>156435.84</v>
      </c>
      <c r="D7" s="46">
        <v>21</v>
      </c>
      <c r="E7" s="45">
        <f t="shared" si="0"/>
        <v>7449.3257142857137</v>
      </c>
      <c r="F7" s="47">
        <f t="shared" ref="F7:F24" si="1">ROUND(E7/100*7,0)</f>
        <v>521</v>
      </c>
      <c r="G7" s="47">
        <f>289.75+99.5</f>
        <v>389.25</v>
      </c>
      <c r="H7" s="48">
        <f>4821.29+1808.69</f>
        <v>6629.98</v>
      </c>
      <c r="I7" s="45">
        <f t="shared" ref="I7:I24" si="2">ROUND(H7*185,0)</f>
        <v>1226546</v>
      </c>
      <c r="J7" s="45">
        <f t="shared" ref="J7:J24" si="3">ROUND(I7*$J$2,0)</f>
        <v>760459</v>
      </c>
      <c r="K7" s="45">
        <v>308664</v>
      </c>
      <c r="L7" s="45">
        <f t="shared" ref="L7:L24" si="4">ROUND(K7*$L$2,0)</f>
        <v>225325</v>
      </c>
      <c r="M7" s="45">
        <v>39.770000000000003</v>
      </c>
      <c r="N7" s="49">
        <f t="shared" ref="N7:N23" si="5">ROUND(J7+L7+M7,0)</f>
        <v>985824</v>
      </c>
      <c r="O7" s="50">
        <v>866242</v>
      </c>
      <c r="P7" s="37">
        <f t="shared" ref="P7:P24" si="6">N7-O7</f>
        <v>119582</v>
      </c>
    </row>
    <row r="8" spans="1:16">
      <c r="A8" s="43">
        <v>1500</v>
      </c>
      <c r="B8" s="44" t="s">
        <v>23</v>
      </c>
      <c r="C8" s="45">
        <v>113180</v>
      </c>
      <c r="D8" s="46">
        <v>22</v>
      </c>
      <c r="E8" s="45">
        <f t="shared" si="0"/>
        <v>5144.545454545455</v>
      </c>
      <c r="F8" s="47">
        <f t="shared" si="1"/>
        <v>360</v>
      </c>
      <c r="G8" s="47">
        <f>193.75+84.75</f>
        <v>278.5</v>
      </c>
      <c r="H8" s="48">
        <f>3099.98+1505.58</f>
        <v>4605.5599999999995</v>
      </c>
      <c r="I8" s="45">
        <f t="shared" si="2"/>
        <v>852029</v>
      </c>
      <c r="J8" s="45">
        <f t="shared" si="3"/>
        <v>528258</v>
      </c>
      <c r="K8" s="45">
        <v>198486</v>
      </c>
      <c r="L8" s="45">
        <f t="shared" si="4"/>
        <v>144895</v>
      </c>
      <c r="M8" s="45">
        <v>2945.25</v>
      </c>
      <c r="N8" s="49">
        <f t="shared" si="5"/>
        <v>676098</v>
      </c>
      <c r="O8" s="50">
        <v>566200</v>
      </c>
      <c r="P8" s="37">
        <f t="shared" si="6"/>
        <v>109898</v>
      </c>
    </row>
    <row r="9" spans="1:16">
      <c r="A9" s="43">
        <v>1600</v>
      </c>
      <c r="B9" s="44" t="s">
        <v>29</v>
      </c>
      <c r="C9" s="45">
        <v>56664.45</v>
      </c>
      <c r="D9" s="46">
        <v>20</v>
      </c>
      <c r="E9" s="45">
        <f t="shared" si="0"/>
        <v>2833.2224999999999</v>
      </c>
      <c r="F9" s="47">
        <f t="shared" si="1"/>
        <v>198</v>
      </c>
      <c r="G9" s="47">
        <f>143+40</f>
        <v>183</v>
      </c>
      <c r="H9" s="48">
        <f>2410.88+723.33</f>
        <v>3134.21</v>
      </c>
      <c r="I9" s="45">
        <f>ROUND(H9*185,0)</f>
        <v>579829</v>
      </c>
      <c r="J9" s="45">
        <f t="shared" si="3"/>
        <v>359494</v>
      </c>
      <c r="K9" s="45">
        <v>102658</v>
      </c>
      <c r="L9" s="45">
        <f t="shared" si="4"/>
        <v>74940</v>
      </c>
      <c r="M9" s="45">
        <f>1492.56</f>
        <v>1492.56</v>
      </c>
      <c r="N9" s="49">
        <f t="shared" si="5"/>
        <v>435927</v>
      </c>
      <c r="O9" s="50">
        <v>358541</v>
      </c>
      <c r="P9" s="37">
        <f t="shared" si="6"/>
        <v>77386</v>
      </c>
    </row>
    <row r="10" spans="1:16">
      <c r="A10" s="43">
        <v>1700</v>
      </c>
      <c r="B10" s="44" t="s">
        <v>26</v>
      </c>
      <c r="C10" s="45">
        <v>161753.64000000001</v>
      </c>
      <c r="D10" s="46">
        <v>22</v>
      </c>
      <c r="E10" s="45">
        <f t="shared" si="0"/>
        <v>7352.4381818181828</v>
      </c>
      <c r="F10" s="47">
        <f t="shared" si="1"/>
        <v>515</v>
      </c>
      <c r="G10" s="47">
        <f>394+85</f>
        <v>479</v>
      </c>
      <c r="H10" s="48">
        <f>6593.02+1561.16</f>
        <v>8154.18</v>
      </c>
      <c r="I10" s="45">
        <f t="shared" si="2"/>
        <v>1508523</v>
      </c>
      <c r="J10" s="45">
        <f t="shared" si="3"/>
        <v>935284</v>
      </c>
      <c r="K10" s="45">
        <v>344752</v>
      </c>
      <c r="L10" s="45">
        <f t="shared" si="4"/>
        <v>251669</v>
      </c>
      <c r="M10" s="45">
        <f>225.64+818.56+7793.99</f>
        <v>8838.1899999999987</v>
      </c>
      <c r="N10" s="49">
        <f t="shared" si="5"/>
        <v>1195791</v>
      </c>
      <c r="O10" s="50">
        <v>1016915</v>
      </c>
      <c r="P10" s="37">
        <f t="shared" si="6"/>
        <v>178876</v>
      </c>
    </row>
    <row r="11" spans="1:16">
      <c r="A11" s="43">
        <v>1800</v>
      </c>
      <c r="B11" s="44" t="s">
        <v>24</v>
      </c>
      <c r="C11" s="45">
        <v>114582.15</v>
      </c>
      <c r="D11" s="46">
        <v>21</v>
      </c>
      <c r="E11" s="45">
        <f t="shared" si="0"/>
        <v>5456.2928571428565</v>
      </c>
      <c r="F11" s="47">
        <f t="shared" si="1"/>
        <v>382</v>
      </c>
      <c r="G11" s="47">
        <f>283.5+37.5</f>
        <v>321</v>
      </c>
      <c r="H11" s="48">
        <f>4802.76+731.25</f>
        <v>5534.01</v>
      </c>
      <c r="I11" s="45">
        <f t="shared" si="2"/>
        <v>1023792</v>
      </c>
      <c r="J11" s="45">
        <f t="shared" si="3"/>
        <v>634751</v>
      </c>
      <c r="K11" s="45">
        <v>237332</v>
      </c>
      <c r="L11" s="45">
        <f t="shared" si="4"/>
        <v>173252</v>
      </c>
      <c r="M11" s="45">
        <f>765.18+1148.74+1234.63</f>
        <v>3148.55</v>
      </c>
      <c r="N11" s="49">
        <f t="shared" si="5"/>
        <v>811152</v>
      </c>
      <c r="O11" s="50">
        <v>664266</v>
      </c>
      <c r="P11" s="37">
        <f t="shared" si="6"/>
        <v>146886</v>
      </c>
    </row>
    <row r="12" spans="1:16">
      <c r="A12" s="43">
        <v>2300</v>
      </c>
      <c r="B12" s="44" t="s">
        <v>30</v>
      </c>
      <c r="C12" s="45">
        <v>109205</v>
      </c>
      <c r="D12" s="46">
        <v>20</v>
      </c>
      <c r="E12" s="45">
        <f t="shared" si="0"/>
        <v>5460.25</v>
      </c>
      <c r="F12" s="47">
        <f t="shared" si="1"/>
        <v>382</v>
      </c>
      <c r="G12" s="47">
        <f>163+66</f>
        <v>229</v>
      </c>
      <c r="H12" s="48">
        <f>2767.42+1249.41</f>
        <v>4016.83</v>
      </c>
      <c r="I12" s="45">
        <f t="shared" si="2"/>
        <v>743114</v>
      </c>
      <c r="J12" s="45">
        <f>ROUND(I12*$J$2,0)-1</f>
        <v>460730</v>
      </c>
      <c r="K12" s="45">
        <v>196921</v>
      </c>
      <c r="L12" s="45">
        <f t="shared" si="4"/>
        <v>143752</v>
      </c>
      <c r="M12" s="45">
        <v>0</v>
      </c>
      <c r="N12" s="49">
        <f t="shared" si="5"/>
        <v>604482</v>
      </c>
      <c r="O12" s="50">
        <v>526487</v>
      </c>
      <c r="P12" s="37">
        <f t="shared" si="6"/>
        <v>77995</v>
      </c>
    </row>
    <row r="13" spans="1:16">
      <c r="A13" s="43">
        <v>2400</v>
      </c>
      <c r="B13" s="44" t="s">
        <v>25</v>
      </c>
      <c r="C13" s="45">
        <v>142810.59</v>
      </c>
      <c r="D13" s="46">
        <v>22</v>
      </c>
      <c r="E13" s="45">
        <f t="shared" si="0"/>
        <v>6491.3904545454543</v>
      </c>
      <c r="F13" s="47">
        <f t="shared" si="1"/>
        <v>454</v>
      </c>
      <c r="G13" s="47">
        <f>332.5+121.5</f>
        <v>454</v>
      </c>
      <c r="H13" s="48">
        <f>5412.72+2226.24</f>
        <v>7638.96</v>
      </c>
      <c r="I13" s="45">
        <f t="shared" si="2"/>
        <v>1413208</v>
      </c>
      <c r="J13" s="45">
        <f>ROUND(I13*$J$2,0)</f>
        <v>876189</v>
      </c>
      <c r="K13" s="45">
        <v>241442</v>
      </c>
      <c r="L13" s="45">
        <f>ROUND(K13*$L$2,0)</f>
        <v>176253</v>
      </c>
      <c r="M13" s="45">
        <v>0</v>
      </c>
      <c r="N13" s="49">
        <f t="shared" si="5"/>
        <v>1052442</v>
      </c>
      <c r="O13" s="50">
        <v>944229</v>
      </c>
      <c r="P13" s="37">
        <f t="shared" si="6"/>
        <v>108213</v>
      </c>
    </row>
    <row r="14" spans="1:16">
      <c r="A14" s="43">
        <v>2900</v>
      </c>
      <c r="B14" s="44" t="s">
        <v>16</v>
      </c>
      <c r="C14" s="45">
        <v>233510.28</v>
      </c>
      <c r="D14" s="46">
        <v>21</v>
      </c>
      <c r="E14" s="45">
        <f t="shared" si="0"/>
        <v>11119.537142857143</v>
      </c>
      <c r="F14" s="47">
        <f t="shared" si="1"/>
        <v>778</v>
      </c>
      <c r="G14" s="47">
        <f>459.5+217.5</f>
        <v>677</v>
      </c>
      <c r="H14" s="48">
        <f>7572.79+4107.45</f>
        <v>11680.24</v>
      </c>
      <c r="I14" s="45">
        <f>ROUND(H14*185,0)</f>
        <v>2160844</v>
      </c>
      <c r="J14" s="45">
        <f>ROUND(I14*$J$2,0)</f>
        <v>1339723</v>
      </c>
      <c r="K14" s="45">
        <v>495282</v>
      </c>
      <c r="L14" s="45">
        <f t="shared" si="4"/>
        <v>361556</v>
      </c>
      <c r="M14" s="45">
        <f>1002.42+10921.18+9594.17+1900.41</f>
        <v>23418.18</v>
      </c>
      <c r="N14" s="49">
        <f>ROUND(J14+L14+M14,0)+1</f>
        <v>1724698</v>
      </c>
      <c r="O14" s="50">
        <v>1540741</v>
      </c>
      <c r="P14" s="37">
        <f>N14-O14</f>
        <v>183957</v>
      </c>
    </row>
    <row r="15" spans="1:16">
      <c r="A15" s="43">
        <v>3100</v>
      </c>
      <c r="B15" s="44" t="s">
        <v>17</v>
      </c>
      <c r="C15" s="45">
        <v>224067.86</v>
      </c>
      <c r="D15" s="46">
        <v>19</v>
      </c>
      <c r="E15" s="45">
        <f t="shared" si="0"/>
        <v>11793.045263157894</v>
      </c>
      <c r="F15" s="47">
        <f t="shared" si="1"/>
        <v>826</v>
      </c>
      <c r="G15" s="47">
        <f>686.95+139.05</f>
        <v>826</v>
      </c>
      <c r="H15" s="48">
        <f>11350.06+2486.82</f>
        <v>13836.88</v>
      </c>
      <c r="I15" s="45">
        <f t="shared" si="2"/>
        <v>2559823</v>
      </c>
      <c r="J15" s="45">
        <f t="shared" si="3"/>
        <v>1587090</v>
      </c>
      <c r="K15" s="45">
        <v>280325</v>
      </c>
      <c r="L15" s="45">
        <f t="shared" si="4"/>
        <v>204637</v>
      </c>
      <c r="M15" s="45">
        <f>134.09+85.89+29.39+47.91+248.54</f>
        <v>545.81999999999994</v>
      </c>
      <c r="N15" s="49">
        <f t="shared" si="5"/>
        <v>1792273</v>
      </c>
      <c r="O15" s="50">
        <v>1553120</v>
      </c>
      <c r="P15" s="37">
        <f t="shared" si="6"/>
        <v>239153</v>
      </c>
    </row>
    <row r="16" spans="1:16">
      <c r="A16" s="43">
        <v>3200</v>
      </c>
      <c r="B16" s="44" t="s">
        <v>20</v>
      </c>
      <c r="C16" s="45">
        <v>350036.47</v>
      </c>
      <c r="D16" s="46">
        <v>19</v>
      </c>
      <c r="E16" s="45">
        <f t="shared" si="0"/>
        <v>18422.972105263158</v>
      </c>
      <c r="F16" s="47">
        <f t="shared" si="1"/>
        <v>1290</v>
      </c>
      <c r="G16" s="47">
        <f>938.25+193.4</f>
        <v>1131.6500000000001</v>
      </c>
      <c r="H16" s="48">
        <f>15906.39+3567.74</f>
        <v>19474.129999999997</v>
      </c>
      <c r="I16" s="45">
        <f t="shared" si="2"/>
        <v>3602714</v>
      </c>
      <c r="J16" s="45">
        <f t="shared" si="3"/>
        <v>2233683</v>
      </c>
      <c r="K16" s="45">
        <v>738813</v>
      </c>
      <c r="L16" s="45">
        <f t="shared" si="4"/>
        <v>539333</v>
      </c>
      <c r="M16" s="45">
        <f>2216.03+7173.09+20.84+525.96</f>
        <v>9935.9200000000019</v>
      </c>
      <c r="N16" s="49">
        <f t="shared" si="5"/>
        <v>2782952</v>
      </c>
      <c r="O16" s="50">
        <v>2639751</v>
      </c>
      <c r="P16" s="37">
        <f t="shared" si="6"/>
        <v>143201</v>
      </c>
    </row>
    <row r="17" spans="1:16">
      <c r="A17" s="43">
        <v>3300</v>
      </c>
      <c r="B17" s="44" t="s">
        <v>18</v>
      </c>
      <c r="C17" s="45">
        <v>295898.71000000002</v>
      </c>
      <c r="D17" s="46">
        <v>20</v>
      </c>
      <c r="E17" s="45">
        <f t="shared" si="0"/>
        <v>14794.935500000001</v>
      </c>
      <c r="F17" s="47">
        <f t="shared" si="1"/>
        <v>1036</v>
      </c>
      <c r="G17" s="47">
        <f>708.25+320.5</f>
        <v>1028.75</v>
      </c>
      <c r="H17" s="48">
        <f>11841.54+6043.77</f>
        <v>17885.310000000001</v>
      </c>
      <c r="I17" s="45">
        <f t="shared" si="2"/>
        <v>3308782</v>
      </c>
      <c r="J17" s="45">
        <f t="shared" si="3"/>
        <v>2051445</v>
      </c>
      <c r="K17" s="45">
        <v>340956</v>
      </c>
      <c r="L17" s="45">
        <f t="shared" si="4"/>
        <v>248898</v>
      </c>
      <c r="M17" s="45">
        <f>578.74+2961.86+310.12</f>
        <v>3850.7200000000003</v>
      </c>
      <c r="N17" s="49">
        <f t="shared" si="5"/>
        <v>2304194</v>
      </c>
      <c r="O17" s="50">
        <v>2016043</v>
      </c>
      <c r="P17" s="37">
        <f t="shared" si="6"/>
        <v>288151</v>
      </c>
    </row>
    <row r="18" spans="1:16">
      <c r="A18" s="43">
        <v>3400</v>
      </c>
      <c r="B18" s="44" t="s">
        <v>19</v>
      </c>
      <c r="C18" s="45">
        <v>243895.16</v>
      </c>
      <c r="D18" s="46">
        <v>22</v>
      </c>
      <c r="E18" s="45">
        <f t="shared" si="0"/>
        <v>11086.143636363637</v>
      </c>
      <c r="F18" s="47">
        <f t="shared" si="1"/>
        <v>776</v>
      </c>
      <c r="G18" s="47">
        <f>555.75+219.42</f>
        <v>775.17</v>
      </c>
      <c r="H18" s="48">
        <f>9144.35+4179.9</f>
        <v>13324.25</v>
      </c>
      <c r="I18" s="45">
        <f t="shared" si="2"/>
        <v>2464986</v>
      </c>
      <c r="J18" s="45">
        <f t="shared" si="3"/>
        <v>1528291</v>
      </c>
      <c r="K18" s="45">
        <v>317535</v>
      </c>
      <c r="L18" s="45">
        <f t="shared" si="4"/>
        <v>231801</v>
      </c>
      <c r="M18" s="45">
        <v>147.97</v>
      </c>
      <c r="N18" s="49">
        <f t="shared" si="5"/>
        <v>1760240</v>
      </c>
      <c r="O18" s="50">
        <v>1574762</v>
      </c>
      <c r="P18" s="37">
        <f t="shared" si="6"/>
        <v>185478</v>
      </c>
    </row>
    <row r="19" spans="1:16">
      <c r="A19" s="43">
        <v>3500</v>
      </c>
      <c r="B19" s="44" t="s">
        <v>31</v>
      </c>
      <c r="C19" s="45">
        <v>83257.789999999994</v>
      </c>
      <c r="D19" s="46">
        <v>22</v>
      </c>
      <c r="E19" s="45">
        <f t="shared" si="0"/>
        <v>3784.4449999999997</v>
      </c>
      <c r="F19" s="47">
        <f t="shared" si="1"/>
        <v>265</v>
      </c>
      <c r="G19" s="47">
        <f>189.25+43</f>
        <v>232.25</v>
      </c>
      <c r="H19" s="48">
        <f>3196.09+805.28</f>
        <v>4001.37</v>
      </c>
      <c r="I19" s="45">
        <f t="shared" si="2"/>
        <v>740253</v>
      </c>
      <c r="J19" s="45">
        <f t="shared" si="3"/>
        <v>458957</v>
      </c>
      <c r="K19" s="45">
        <v>126432</v>
      </c>
      <c r="L19" s="45">
        <f t="shared" si="4"/>
        <v>92295</v>
      </c>
      <c r="M19" s="45">
        <v>2545.3200000000002</v>
      </c>
      <c r="N19" s="49">
        <f t="shared" si="5"/>
        <v>553797</v>
      </c>
      <c r="O19" s="50">
        <v>472877</v>
      </c>
      <c r="P19" s="37">
        <f t="shared" si="6"/>
        <v>80920</v>
      </c>
    </row>
    <row r="20" spans="1:16">
      <c r="A20" s="43">
        <v>3600</v>
      </c>
      <c r="B20" s="44" t="s">
        <v>28</v>
      </c>
      <c r="C20" s="45">
        <v>231269</v>
      </c>
      <c r="D20" s="46">
        <v>20</v>
      </c>
      <c r="E20" s="45">
        <f t="shared" si="0"/>
        <v>11563.45</v>
      </c>
      <c r="F20" s="47">
        <f t="shared" si="1"/>
        <v>809</v>
      </c>
      <c r="G20" s="47">
        <f>548+163</f>
        <v>711</v>
      </c>
      <c r="H20" s="48">
        <f>9361.05+3118.56</f>
        <v>12479.609999999999</v>
      </c>
      <c r="I20" s="45">
        <f>ROUND(H20*185,0)</f>
        <v>2308728</v>
      </c>
      <c r="J20" s="45">
        <f>ROUND(I20*$J$2,0)</f>
        <v>1431411</v>
      </c>
      <c r="K20" s="45">
        <v>476110</v>
      </c>
      <c r="L20" s="45">
        <f t="shared" si="4"/>
        <v>347560</v>
      </c>
      <c r="M20" s="45">
        <f>145.05+817.53+49.2</f>
        <v>1011.78</v>
      </c>
      <c r="N20" s="49">
        <f t="shared" si="5"/>
        <v>1779983</v>
      </c>
      <c r="O20" s="50">
        <v>1542777</v>
      </c>
      <c r="P20" s="37">
        <f t="shared" si="6"/>
        <v>237206</v>
      </c>
    </row>
    <row r="21" spans="1:16">
      <c r="A21" s="43">
        <v>3700</v>
      </c>
      <c r="B21" s="44" t="s">
        <v>27</v>
      </c>
      <c r="C21" s="45">
        <v>30150.15</v>
      </c>
      <c r="D21" s="46">
        <v>22</v>
      </c>
      <c r="E21" s="45">
        <f t="shared" si="0"/>
        <v>1370.4613636363638</v>
      </c>
      <c r="F21" s="47">
        <f t="shared" si="1"/>
        <v>96</v>
      </c>
      <c r="G21" s="47">
        <f>76.62+7</f>
        <v>83.62</v>
      </c>
      <c r="H21" s="48">
        <f>1274.83+136.5</f>
        <v>1411.33</v>
      </c>
      <c r="I21" s="45">
        <f t="shared" si="2"/>
        <v>261096</v>
      </c>
      <c r="J21" s="45">
        <f t="shared" si="3"/>
        <v>161880</v>
      </c>
      <c r="K21" s="45">
        <v>38102</v>
      </c>
      <c r="L21" s="45">
        <f t="shared" si="4"/>
        <v>27814</v>
      </c>
      <c r="M21" s="45">
        <v>0</v>
      </c>
      <c r="N21" s="49">
        <f t="shared" si="5"/>
        <v>189694</v>
      </c>
      <c r="O21" s="50">
        <v>157099</v>
      </c>
      <c r="P21" s="37">
        <f t="shared" si="6"/>
        <v>32595</v>
      </c>
    </row>
    <row r="22" spans="1:16">
      <c r="A22" s="43">
        <v>3800</v>
      </c>
      <c r="B22" s="44" t="s">
        <v>32</v>
      </c>
      <c r="C22" s="45">
        <v>97245</v>
      </c>
      <c r="D22" s="46">
        <v>21</v>
      </c>
      <c r="E22" s="45">
        <f t="shared" si="0"/>
        <v>4630.7142857142853</v>
      </c>
      <c r="F22" s="47">
        <f t="shared" si="1"/>
        <v>324</v>
      </c>
      <c r="G22" s="47">
        <f>181.5+37.5</f>
        <v>219</v>
      </c>
      <c r="H22" s="48">
        <f>2989.54+673.51</f>
        <v>3663.05</v>
      </c>
      <c r="I22" s="45">
        <f t="shared" si="2"/>
        <v>677664</v>
      </c>
      <c r="J22" s="45">
        <f t="shared" si="3"/>
        <v>420152</v>
      </c>
      <c r="K22" s="45">
        <v>128345</v>
      </c>
      <c r="L22" s="45">
        <f t="shared" si="4"/>
        <v>93692</v>
      </c>
      <c r="M22" s="45">
        <v>0</v>
      </c>
      <c r="N22" s="49">
        <f t="shared" si="5"/>
        <v>513844</v>
      </c>
      <c r="O22" s="50">
        <v>451512</v>
      </c>
      <c r="P22" s="37">
        <f t="shared" si="6"/>
        <v>62332</v>
      </c>
    </row>
    <row r="23" spans="1:16">
      <c r="A23" s="43">
        <v>3900</v>
      </c>
      <c r="B23" s="44" t="s">
        <v>34</v>
      </c>
      <c r="C23" s="45">
        <v>26163.09</v>
      </c>
      <c r="D23" s="46">
        <v>22</v>
      </c>
      <c r="E23" s="45">
        <f t="shared" si="0"/>
        <v>1189.2313636363635</v>
      </c>
      <c r="F23" s="47">
        <f t="shared" si="1"/>
        <v>83</v>
      </c>
      <c r="G23" s="47">
        <f>60.5+22.5</f>
        <v>83</v>
      </c>
      <c r="H23" s="48">
        <f>1081.24+438.75</f>
        <v>1519.99</v>
      </c>
      <c r="I23" s="45">
        <f t="shared" si="2"/>
        <v>281198</v>
      </c>
      <c r="J23" s="45">
        <f t="shared" si="3"/>
        <v>174343</v>
      </c>
      <c r="K23" s="45">
        <v>38102</v>
      </c>
      <c r="L23" s="45">
        <f t="shared" si="4"/>
        <v>27814</v>
      </c>
      <c r="M23" s="45">
        <v>9423.35</v>
      </c>
      <c r="N23" s="49">
        <f t="shared" si="5"/>
        <v>211580</v>
      </c>
      <c r="O23" s="50">
        <v>172399</v>
      </c>
      <c r="P23" s="37">
        <f t="shared" si="6"/>
        <v>39181</v>
      </c>
    </row>
    <row r="24" spans="1:16" s="19" customFormat="1">
      <c r="A24" s="51">
        <v>4000</v>
      </c>
      <c r="B24" s="52" t="s">
        <v>38</v>
      </c>
      <c r="C24" s="53">
        <v>26432.69</v>
      </c>
      <c r="D24" s="54">
        <v>21</v>
      </c>
      <c r="E24" s="53">
        <f t="shared" si="0"/>
        <v>1258.6995238095237</v>
      </c>
      <c r="F24" s="55">
        <f t="shared" si="1"/>
        <v>88</v>
      </c>
      <c r="G24" s="55">
        <f>55+14</f>
        <v>69</v>
      </c>
      <c r="H24" s="56">
        <f>927.96+264.46</f>
        <v>1192.42</v>
      </c>
      <c r="I24" s="53">
        <f t="shared" si="2"/>
        <v>220598</v>
      </c>
      <c r="J24" s="53">
        <f t="shared" si="3"/>
        <v>136771</v>
      </c>
      <c r="K24" s="57">
        <v>35522</v>
      </c>
      <c r="L24" s="53">
        <f t="shared" si="4"/>
        <v>25931</v>
      </c>
      <c r="M24" s="53">
        <v>0</v>
      </c>
      <c r="N24" s="58">
        <f>ROUND(J24+L24+M24,0)</f>
        <v>162702</v>
      </c>
      <c r="O24" s="59">
        <v>140102</v>
      </c>
      <c r="P24" s="38">
        <f t="shared" si="6"/>
        <v>22600</v>
      </c>
    </row>
    <row r="25" spans="1:16">
      <c r="A25" s="43"/>
      <c r="B25" s="44"/>
      <c r="C25" s="45"/>
      <c r="D25" s="46"/>
      <c r="E25" s="45" t="s">
        <v>33</v>
      </c>
      <c r="F25" s="60" t="s">
        <v>33</v>
      </c>
      <c r="G25" s="60"/>
      <c r="H25" s="47"/>
      <c r="I25" s="45"/>
      <c r="J25" s="45" t="s">
        <v>33</v>
      </c>
      <c r="K25" s="45"/>
      <c r="L25" s="45"/>
      <c r="M25" s="45"/>
      <c r="N25" s="49"/>
      <c r="O25" s="50"/>
      <c r="P25" s="37"/>
    </row>
    <row r="26" spans="1:16">
      <c r="A26" s="43"/>
      <c r="B26" s="61" t="s">
        <v>1</v>
      </c>
      <c r="C26" s="45">
        <f>SUM(C6:C24)</f>
        <v>2908410.63</v>
      </c>
      <c r="D26" s="46"/>
      <c r="E26" s="45">
        <f>SUM(E6:E24)</f>
        <v>140830.77125586694</v>
      </c>
      <c r="F26" s="39">
        <f>ROUND(E26/100*7,0)</f>
        <v>9858</v>
      </c>
      <c r="G26" s="60">
        <f t="shared" ref="G26:K26" si="7">SUM(G6:G24)</f>
        <v>8826.94</v>
      </c>
      <c r="H26" s="45">
        <f>SUM(H6:H24)</f>
        <v>151301.27999999994</v>
      </c>
      <c r="I26" s="45">
        <f>SUM(I6:I24)</f>
        <v>27990736</v>
      </c>
      <c r="J26" s="45">
        <f t="shared" si="7"/>
        <v>17354257</v>
      </c>
      <c r="K26" s="45">
        <f t="shared" si="7"/>
        <v>5043469</v>
      </c>
      <c r="L26" s="45">
        <f>SUM(L6:L24)</f>
        <v>3681731</v>
      </c>
      <c r="M26" s="45">
        <f>SUM(M6:M24)</f>
        <v>67343.38</v>
      </c>
      <c r="N26" s="49">
        <f>SUM(N6:N24)</f>
        <v>21103333</v>
      </c>
      <c r="O26" s="50">
        <f>SUM(O6:O24)</f>
        <v>18470602</v>
      </c>
      <c r="P26" s="37">
        <f>SUM(P6:P24)</f>
        <v>2632731</v>
      </c>
    </row>
    <row r="27" spans="1:16">
      <c r="C27" s="18"/>
      <c r="D27" s="8"/>
      <c r="E27" s="18"/>
      <c r="F27" s="13"/>
      <c r="G27" s="13"/>
      <c r="H27" s="18"/>
      <c r="I27" s="18"/>
      <c r="J27" s="18"/>
      <c r="K27" s="18"/>
      <c r="L27" s="18"/>
      <c r="M27" s="18"/>
      <c r="N27" s="18"/>
      <c r="O27" s="10"/>
      <c r="P27" s="10"/>
    </row>
    <row r="28" spans="1:16">
      <c r="F28" s="20"/>
      <c r="G28" s="21"/>
      <c r="H28" s="21"/>
    </row>
    <row r="29" spans="1:16">
      <c r="F29" s="20"/>
      <c r="G29" s="21"/>
      <c r="H29" s="21"/>
    </row>
    <row r="30" spans="1:16">
      <c r="F30" s="20"/>
      <c r="G30" s="21"/>
      <c r="H30" s="21"/>
      <c r="O30" s="22"/>
    </row>
    <row r="31" spans="1:16">
      <c r="F31" s="20"/>
      <c r="G31" s="21"/>
      <c r="H31" s="21"/>
    </row>
    <row r="32" spans="1:16">
      <c r="F32" s="20"/>
      <c r="G32" s="21"/>
      <c r="H32" s="21"/>
    </row>
    <row r="33" spans="2:8" ht="60">
      <c r="B33" s="23" t="s">
        <v>35</v>
      </c>
      <c r="C33" s="29" t="s">
        <v>42</v>
      </c>
      <c r="D33" s="30" t="s">
        <v>43</v>
      </c>
      <c r="E33" s="23"/>
      <c r="F33" s="24"/>
      <c r="G33" s="25" t="s">
        <v>37</v>
      </c>
      <c r="H33" s="26" t="s">
        <v>36</v>
      </c>
    </row>
    <row r="34" spans="2:8">
      <c r="F34" s="20"/>
      <c r="G34" s="21"/>
      <c r="H34" s="21"/>
    </row>
    <row r="35" spans="2:8">
      <c r="F35" s="20"/>
      <c r="G35" s="21"/>
      <c r="H35" s="21"/>
    </row>
    <row r="36" spans="2:8">
      <c r="F36" s="20"/>
      <c r="G36" s="21"/>
      <c r="H36" s="21"/>
    </row>
    <row r="37" spans="2:8">
      <c r="F37" s="20"/>
      <c r="G37" s="21"/>
      <c r="H37" s="21"/>
    </row>
    <row r="38" spans="2:8">
      <c r="F38" s="20"/>
      <c r="G38" s="21"/>
      <c r="H38" s="21"/>
    </row>
    <row r="39" spans="2:8">
      <c r="F39" s="20"/>
      <c r="G39" s="21"/>
      <c r="H39" s="21"/>
    </row>
    <row r="40" spans="2:8">
      <c r="F40" s="20"/>
      <c r="G40" s="21"/>
      <c r="H40" s="21"/>
    </row>
    <row r="41" spans="2:8">
      <c r="F41" s="20"/>
      <c r="G41" s="21"/>
      <c r="H41" s="21"/>
    </row>
    <row r="42" spans="2:8">
      <c r="F42" s="20"/>
      <c r="G42" s="21"/>
      <c r="H42" s="21"/>
    </row>
    <row r="43" spans="2:8">
      <c r="F43" s="20"/>
      <c r="G43" s="21"/>
      <c r="H43" s="21"/>
    </row>
    <row r="44" spans="2:8">
      <c r="F44" s="20"/>
      <c r="G44" s="21"/>
      <c r="H44" s="21"/>
    </row>
    <row r="45" spans="2:8">
      <c r="F45" s="20"/>
      <c r="G45" s="21"/>
      <c r="H45" s="21"/>
    </row>
    <row r="46" spans="2:8">
      <c r="F46" s="20"/>
      <c r="G46" s="21"/>
      <c r="H46" s="21"/>
    </row>
    <row r="47" spans="2:8">
      <c r="F47" s="20"/>
      <c r="G47" s="21"/>
      <c r="H47" s="21"/>
    </row>
    <row r="48" spans="2:8">
      <c r="F48" s="20"/>
      <c r="G48" s="21"/>
      <c r="H48" s="21"/>
    </row>
    <row r="49" spans="6:8">
      <c r="F49" s="20"/>
      <c r="G49" s="21"/>
      <c r="H49" s="21"/>
    </row>
    <row r="50" spans="6:8">
      <c r="F50" s="20"/>
      <c r="G50" s="21"/>
      <c r="H50" s="21"/>
    </row>
    <row r="51" spans="6:8">
      <c r="F51" s="20"/>
      <c r="G51" s="21"/>
      <c r="H51" s="21"/>
    </row>
    <row r="52" spans="6:8">
      <c r="F52" s="20"/>
      <c r="G52" s="21"/>
      <c r="H52" s="21"/>
    </row>
    <row r="53" spans="6:8">
      <c r="F53" s="20"/>
      <c r="G53" s="21"/>
      <c r="H53" s="21"/>
    </row>
    <row r="54" spans="6:8">
      <c r="F54" s="20"/>
      <c r="G54" s="21"/>
      <c r="H54" s="21"/>
    </row>
    <row r="55" spans="6:8">
      <c r="F55" s="20"/>
      <c r="G55" s="21"/>
      <c r="H55" s="21"/>
    </row>
    <row r="56" spans="6:8">
      <c r="F56" s="20"/>
      <c r="G56" s="21"/>
      <c r="H56" s="21"/>
    </row>
    <row r="57" spans="6:8">
      <c r="F57" s="20"/>
      <c r="G57" s="21"/>
      <c r="H57" s="21"/>
    </row>
    <row r="58" spans="6:8">
      <c r="F58" s="20"/>
      <c r="G58" s="21"/>
      <c r="H58" s="21"/>
    </row>
    <row r="59" spans="6:8">
      <c r="F59" s="20"/>
      <c r="G59" s="21"/>
      <c r="H59" s="21"/>
    </row>
    <row r="60" spans="6:8">
      <c r="H60" s="21"/>
    </row>
    <row r="61" spans="6:8">
      <c r="H61" s="21"/>
    </row>
  </sheetData>
  <pageMargins left="0.36" right="0.25" top="1" bottom="1" header="0.5" footer="0.5"/>
  <pageSetup scale="67" orientation="landscape" r:id="rId1"/>
  <headerFooter alignWithMargins="0">
    <oddHeader>&amp;f</oddHead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1E8E4F7969D4C8BCB20B321513B3F" ma:contentTypeVersion="12" ma:contentTypeDescription="Create a new document." ma:contentTypeScope="" ma:versionID="02301ece707c47d55064c1462317e872">
  <xsd:schema xmlns:xsd="http://www.w3.org/2001/XMLSchema" xmlns:xs="http://www.w3.org/2001/XMLSchema" xmlns:p="http://schemas.microsoft.com/office/2006/metadata/properties" xmlns:ns2="6ebc68b0-7f3c-4577-b3f0-5291d71a0faf" targetNamespace="http://schemas.microsoft.com/office/2006/metadata/properties" ma:root="true" ma:fieldsID="c0ae8da7727f67fdcf1f40ff4ad57e3e" ns2:_="">
    <xsd:import namespace="6ebc68b0-7f3c-4577-b3f0-5291d71a0f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bc68b0-7f3c-4577-b3f0-5291d71a0f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a00141d-80f0-4ca7-8ba9-0163cf3648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bc68b0-7f3c-4577-b3f0-5291d71a0f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8B5535-5EB8-4158-A994-6C5F9DB02D5B}"/>
</file>

<file path=customXml/itemProps2.xml><?xml version="1.0" encoding="utf-8"?>
<ds:datastoreItem xmlns:ds="http://schemas.openxmlformats.org/officeDocument/2006/customXml" ds:itemID="{BE226745-8DBC-4227-A650-753AB1FFBB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3F52AB-8FD0-4BF9-926B-0F33A907EF91}">
  <ds:schemaRefs>
    <ds:schemaRef ds:uri="http://schemas.openxmlformats.org/package/2006/metadata/core-properties"/>
    <ds:schemaRef ds:uri="76759abf-6a08-4086-b75e-edc8e9e2d38e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2290848b-dbe8-47ee-ba48-5626a35427a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FY26 Cafeteria</vt:lpstr>
      <vt:lpstr>'FY26 Cafeteria'!Print_Area</vt:lpstr>
    </vt:vector>
  </TitlesOfParts>
  <Company>Delaware Dept.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jenkins</dc:creator>
  <cp:lastModifiedBy>Hughes Brook</cp:lastModifiedBy>
  <cp:lastPrinted>2025-12-09T15:52:52Z</cp:lastPrinted>
  <dcterms:created xsi:type="dcterms:W3CDTF">2002-06-26T21:06:50Z</dcterms:created>
  <dcterms:modified xsi:type="dcterms:W3CDTF">2025-12-09T15:55:36Z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0x0101005461E8E4F7969D4C8BCB20B321513B3F</vt:lpwstr>
  </property>
  <property fmtid="{D5CDD505-2E9C-101B-9397-08002B2CF9AE}" pid="3" name="Order">
    <vt:r8>12443000</vt:r8>
  </property>
  <property fmtid="{D5CDD505-2E9C-101B-9397-08002B2CF9AE}" pid="4" name="MediaServiceImageTags">
    <vt:lpwstr/>
  </property>
</Properties>
</file>